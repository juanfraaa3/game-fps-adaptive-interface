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Name\CamilaCarrascoBaier\"/>
    </mc:Choice>
  </mc:AlternateContent>
  <xr:revisionPtr revIDLastSave="0" documentId="13_ncr:1_{4E0D6785-6339-4B9F-8750-BF4665971840}" xr6:coauthVersionLast="47" xr6:coauthVersionMax="47" xr10:uidLastSave="{00000000-0000-0000-0000-000000000000}"/>
  <bookViews>
    <workbookView xWindow="3204" yWindow="3204" windowWidth="17280" windowHeight="9420" tabRatio="674" firstSheet="1" activeTab="1" xr2:uid="{00000000-000D-0000-FFFF-FFFF00000000}"/>
  </bookViews>
  <sheets>
    <sheet name="Orientation" sheetId="1" r:id="rId1"/>
    <sheet name="Trajectory" sheetId="2" r:id="rId2"/>
    <sheet name="Landing" sheetId="3" r:id="rId3"/>
    <sheet name="Multitasking" sheetId="4" r:id="rId4"/>
    <sheet name="Jitter" sheetId="5" r:id="rId5"/>
    <sheet name="Obstacle" sheetId="6" r:id="rId6"/>
    <sheet name="Movement" sheetId="7" r:id="rId7"/>
    <sheet name="GeneralStats" sheetId="8" r:id="rId8"/>
    <sheet name="AVERAGES" sheetId="9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9" l="1"/>
  <c r="J2" i="9"/>
  <c r="I2" i="9"/>
  <c r="H2" i="9"/>
  <c r="G2" i="9"/>
  <c r="F2" i="9"/>
  <c r="E2" i="9"/>
  <c r="D2" i="9"/>
  <c r="C2" i="9"/>
  <c r="N5" i="9"/>
  <c r="M5" i="9"/>
  <c r="L5" i="9"/>
  <c r="K5" i="9"/>
  <c r="J5" i="9"/>
  <c r="I5" i="9"/>
  <c r="H5" i="9"/>
  <c r="G5" i="9"/>
  <c r="F5" i="9"/>
  <c r="E5" i="9"/>
  <c r="D5" i="9"/>
  <c r="C5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L20" i="9"/>
  <c r="K20" i="9"/>
  <c r="J20" i="9"/>
  <c r="I20" i="9"/>
  <c r="H20" i="9"/>
  <c r="G20" i="9"/>
  <c r="F20" i="9"/>
  <c r="E20" i="9"/>
  <c r="D20" i="9"/>
  <c r="C20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</calcChain>
</file>

<file path=xl/sharedStrings.xml><?xml version="1.0" encoding="utf-8"?>
<sst xmlns="http://schemas.openxmlformats.org/spreadsheetml/2006/main" count="802" uniqueCount="360">
  <si>
    <t>AttemptID</t>
  </si>
  <si>
    <t>SegmentId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</si>
  <si>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</si>
  <si>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</si>
  <si>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</si>
  <si>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</si>
  <si>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</si>
  <si>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</si>
  <si>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TargetPlatform</t>
  </si>
  <si>
    <t>8</t>
  </si>
  <si>
    <t>JetpackSegment_25</t>
  </si>
  <si>
    <t>1.116259</t>
  </si>
  <si>
    <t>18.08292</t>
  </si>
  <si>
    <t>0.2278537</t>
  </si>
  <si>
    <t>0.2041225</t>
  </si>
  <si>
    <t>0</t>
  </si>
  <si>
    <t>TargetAnchor1</t>
  </si>
  <si>
    <t>JetpackSegment_26</t>
  </si>
  <si>
    <t>1.476774</t>
  </si>
  <si>
    <t>31.72499</t>
  </si>
  <si>
    <t>0.6391793</t>
  </si>
  <si>
    <t>0.4328215</t>
  </si>
  <si>
    <t>TargetAnchor2</t>
  </si>
  <si>
    <t>JetpackSegment_27</t>
  </si>
  <si>
    <t>2.715775</t>
  </si>
  <si>
    <t>56.52604</t>
  </si>
  <si>
    <t>1.427598</t>
  </si>
  <si>
    <t>0.5256687</t>
  </si>
  <si>
    <t>1</t>
  </si>
  <si>
    <t>TargetAnchor3</t>
  </si>
  <si>
    <t>9</t>
  </si>
  <si>
    <t>JetpackSegment_28</t>
  </si>
  <si>
    <t>1.343527</t>
  </si>
  <si>
    <t>29.79132</t>
  </si>
  <si>
    <t>0.4326061</t>
  </si>
  <si>
    <t>0.3219928</t>
  </si>
  <si>
    <t>JetpackSegment_29</t>
  </si>
  <si>
    <t>1.634246</t>
  </si>
  <si>
    <t>28.4378</t>
  </si>
  <si>
    <t>0.4015956</t>
  </si>
  <si>
    <t>0.2457375</t>
  </si>
  <si>
    <t>10</t>
  </si>
  <si>
    <t>JetpackSegment_30</t>
  </si>
  <si>
    <t>1.099843</t>
  </si>
  <si>
    <t>14.4378</t>
  </si>
  <si>
    <t>0.09978311</t>
  </si>
  <si>
    <t>0.09072484</t>
  </si>
  <si>
    <t>JetpackSegment_31</t>
  </si>
  <si>
    <t>1.165377</t>
  </si>
  <si>
    <t>20.00159</t>
  </si>
  <si>
    <t>0.3421537</t>
  </si>
  <si>
    <t>0.2935992</t>
  </si>
  <si>
    <t>JetpackSegment_32</t>
  </si>
  <si>
    <t>1.716802</t>
  </si>
  <si>
    <t>56.44999</t>
  </si>
  <si>
    <t>1.054</t>
  </si>
  <si>
    <t>0.6139324</t>
  </si>
  <si>
    <t>11</t>
  </si>
  <si>
    <t>JetpackSegment_33</t>
  </si>
  <si>
    <t>1.115701</t>
  </si>
  <si>
    <t>22.34888</t>
  </si>
  <si>
    <t>0.25975</t>
  </si>
  <si>
    <t>0.2328132</t>
  </si>
  <si>
    <t>JetpackSegment_34</t>
  </si>
  <si>
    <t>1.681374</t>
  </si>
  <si>
    <t>27.4453</t>
  </si>
  <si>
    <t>0.5719826</t>
  </si>
  <si>
    <t>0.3401877</t>
  </si>
  <si>
    <t>JetpackSegment_35</t>
  </si>
  <si>
    <t>1.269129</t>
  </si>
  <si>
    <t>15.06921</t>
  </si>
  <si>
    <t>JetpackSegment_36</t>
  </si>
  <si>
    <t>0.777494</t>
  </si>
  <si>
    <t>38.46574</t>
  </si>
  <si>
    <t>TargetAnchor4</t>
  </si>
  <si>
    <t>JetpackSegment_37</t>
  </si>
  <si>
    <t>1.450601</t>
  </si>
  <si>
    <t>14.50041</t>
  </si>
  <si>
    <t>0.0603369</t>
  </si>
  <si>
    <t>0.04159442</t>
  </si>
  <si>
    <t>JetpackSegment_38</t>
  </si>
  <si>
    <t>1.609844</t>
  </si>
  <si>
    <t>17.50007</t>
  </si>
  <si>
    <t>0.3849444</t>
  </si>
  <si>
    <t>0.2391191</t>
  </si>
  <si>
    <t>TargetAnchor5</t>
  </si>
  <si>
    <t>JetpackSegment_39</t>
  </si>
  <si>
    <t>2.62345</t>
  </si>
  <si>
    <t>37.45297</t>
  </si>
  <si>
    <t>0.8135938</t>
  </si>
  <si>
    <t>0.3101236</t>
  </si>
  <si>
    <t>TargetAnchor6</t>
  </si>
  <si>
    <t>12</t>
  </si>
  <si>
    <t>JetpackSegment_40</t>
  </si>
  <si>
    <t>1.359294</t>
  </si>
  <si>
    <t>24.70034</t>
  </si>
  <si>
    <t>0.4085009</t>
  </si>
  <si>
    <t>0.3005243</t>
  </si>
  <si>
    <t>JetpackSegment_41</t>
  </si>
  <si>
    <t>1.233965</t>
  </si>
  <si>
    <t>23.86681</t>
  </si>
  <si>
    <t>0.3701407</t>
  </si>
  <si>
    <t>0.2999605</t>
  </si>
  <si>
    <t>JetpackSegment_42</t>
  </si>
  <si>
    <t>0.8890359</t>
  </si>
  <si>
    <t>16.06002</t>
  </si>
  <si>
    <t>JetpackSegment_43</t>
  </si>
  <si>
    <t>1.37438</t>
  </si>
  <si>
    <t>52.03691</t>
  </si>
  <si>
    <t>13</t>
  </si>
  <si>
    <t>JetpackSegment_44</t>
  </si>
  <si>
    <t>1.452291</t>
  </si>
  <si>
    <t>32.16163</t>
  </si>
  <si>
    <t>0.5574971</t>
  </si>
  <si>
    <t>0.3838742</t>
  </si>
  <si>
    <t>JetpackSegment_45</t>
  </si>
  <si>
    <t>1.61001</t>
  </si>
  <si>
    <t>36.56614</t>
  </si>
  <si>
    <t>0.62909</t>
  </si>
  <si>
    <t>0.3907368</t>
  </si>
  <si>
    <t>JetpackSegment_46</t>
  </si>
  <si>
    <t>1.3554</t>
  </si>
  <si>
    <t>16.80857</t>
  </si>
  <si>
    <t>0.2837332</t>
  </si>
  <si>
    <t>0.2093354</t>
  </si>
  <si>
    <t>JetpackSegment_47</t>
  </si>
  <si>
    <t>1.491545</t>
  </si>
  <si>
    <t>25.91644</t>
  </si>
  <si>
    <t>0.373784</t>
  </si>
  <si>
    <t>0.250602</t>
  </si>
  <si>
    <t>14</t>
  </si>
  <si>
    <t>JetpackSegment_48</t>
  </si>
  <si>
    <t>1.059929</t>
  </si>
  <si>
    <t>21.86829</t>
  </si>
  <si>
    <t>0.3295923</t>
  </si>
  <si>
    <t>0.3109569</t>
  </si>
  <si>
    <t>JetpackSegment_49</t>
  </si>
  <si>
    <t>3.299847</t>
  </si>
  <si>
    <t>82.10686</t>
  </si>
  <si>
    <t>2.439382</t>
  </si>
  <si>
    <t>0.739241</t>
  </si>
  <si>
    <t>15</t>
  </si>
  <si>
    <t>JetpackSegment_50</t>
  </si>
  <si>
    <t>1.582045</t>
  </si>
  <si>
    <t>35.91691</t>
  </si>
  <si>
    <t>0.6234967</t>
  </si>
  <si>
    <t>0.3941079</t>
  </si>
  <si>
    <t>JetpackSegment_51</t>
  </si>
  <si>
    <t>1.241503</t>
  </si>
  <si>
    <t>34.48656</t>
  </si>
  <si>
    <t>0.7572188</t>
  </si>
  <si>
    <t>0.609921</t>
  </si>
  <si>
    <t>JetpackSegment_52</t>
  </si>
  <si>
    <t>1.223654</t>
  </si>
  <si>
    <t>18.9858</t>
  </si>
  <si>
    <t>0.2951261</t>
  </si>
  <si>
    <t>0.2411843</t>
  </si>
  <si>
    <t>JetpackSegment_53</t>
  </si>
  <si>
    <t>1.661166</t>
  </si>
  <si>
    <t>18.27973</t>
  </si>
  <si>
    <t>0.2173094</t>
  </si>
  <si>
    <t>0.1308174</t>
  </si>
  <si>
    <t>JetpackSegment_54</t>
  </si>
  <si>
    <t>1.406733</t>
  </si>
  <si>
    <t>13.92531</t>
  </si>
  <si>
    <t>JetpackSegment_55</t>
  </si>
  <si>
    <t>2.194066</t>
  </si>
  <si>
    <t>34.11151</t>
  </si>
  <si>
    <t>0.7790732</t>
  </si>
  <si>
    <t>0.355082</t>
  </si>
  <si>
    <t>JetpackSegment_56</t>
  </si>
  <si>
    <t>2.209631</t>
  </si>
  <si>
    <t>37.72626</t>
  </si>
  <si>
    <t>1.052535</t>
  </si>
  <si>
    <t>0.4763396</t>
  </si>
  <si>
    <t>TargetAnchor7</t>
  </si>
  <si>
    <t>JetpackSegment_57</t>
  </si>
  <si>
    <t>2.293518</t>
  </si>
  <si>
    <t>100.6861</t>
  </si>
  <si>
    <t>TargetAnchor8</t>
  </si>
  <si>
    <t>StartTime</t>
  </si>
  <si>
    <t>Duration</t>
  </si>
  <si>
    <t>Efficiency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</si>
  <si>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</si>
  <si>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</si>
  <si>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</si>
  <si>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</si>
  <si>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</si>
  <si>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</si>
  <si>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TargetAnchorName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</si>
  <si>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</si>
  <si>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</si>
  <si>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</si>
  <si>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</si>
  <si>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</si>
  <si>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</si>
  <si>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</si>
  <si>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</si>
  <si>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</si>
  <si>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</si>
  <si>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</si>
  <si>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</si>
  <si>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LandingType</t>
  </si>
  <si>
    <t>LandingSegment_1</t>
  </si>
  <si>
    <t>CleanLanding</t>
  </si>
  <si>
    <t>LandingSegment_2</t>
  </si>
  <si>
    <t>LandingSegment_3</t>
  </si>
  <si>
    <t>RightSideFall</t>
  </si>
  <si>
    <t>LandingSegment_4</t>
  </si>
  <si>
    <t>HitThenFall</t>
  </si>
  <si>
    <t>LandingSegment_5</t>
  </si>
  <si>
    <t>EdgeLanding</t>
  </si>
  <si>
    <t>LandingSegment_6</t>
  </si>
  <si>
    <t>LandingSegment_7</t>
  </si>
  <si>
    <t>OverShoot</t>
  </si>
  <si>
    <t>LandingSegment_8</t>
  </si>
  <si>
    <t>LandingSegment_9</t>
  </si>
  <si>
    <t>LandingSegment_10</t>
  </si>
  <si>
    <t>LandingSegment_11</t>
  </si>
  <si>
    <t>LandingSegment_12</t>
  </si>
  <si>
    <t>LandingSegment_13</t>
  </si>
  <si>
    <t>LeftSideFall</t>
  </si>
  <si>
    <t>LandingSegment_14</t>
  </si>
  <si>
    <t>LandingSegment_15</t>
  </si>
  <si>
    <t>LandingSegment_16</t>
  </si>
  <si>
    <t>LandingSegment_17</t>
  </si>
  <si>
    <t>LandingSegment_18</t>
  </si>
  <si>
    <t>MissedPlatform_Standing</t>
  </si>
  <si>
    <t>LandingSegment_19</t>
  </si>
  <si>
    <t>LandingSegment_20</t>
  </si>
  <si>
    <t>UnderShoot</t>
  </si>
  <si>
    <t>LandingSegment_21</t>
  </si>
  <si>
    <t>LandingSegment_22</t>
  </si>
  <si>
    <t>LandingSegment_23</t>
  </si>
  <si>
    <t>LandingSegment_24</t>
  </si>
  <si>
    <t>LandingSegment_25</t>
  </si>
  <si>
    <t>LandingSegment_26</t>
  </si>
  <si>
    <t>LandingSegment_27</t>
  </si>
  <si>
    <t>LandingSegment_28</t>
  </si>
  <si>
    <t>LandingSegment_29</t>
  </si>
  <si>
    <t>LandingSegment_30</t>
  </si>
  <si>
    <t>LapID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</si>
  <si>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</si>
  <si>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</si>
  <si>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</si>
  <si>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</si>
  <si>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</si>
  <si>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</si>
  <si>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</si>
  <si>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</si>
  <si>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RetryNumber</t>
  </si>
  <si>
    <t>WaveNumber</t>
  </si>
  <si>
    <t>Death</t>
  </si>
  <si>
    <t>CurrentJitter</t>
  </si>
  <si>
    <t>SmoothedJitter</t>
  </si>
  <si>
    <t>IsHard</t>
  </si>
  <si>
    <t>JitterPeak</t>
  </si>
  <si>
    <t>JitterVariance</t>
  </si>
  <si>
    <t>JitterStdDev</t>
  </si>
  <si>
    <t>JitterEvents</t>
  </si>
  <si>
    <t>OvershootCount</t>
  </si>
  <si>
    <t>JitterArea</t>
  </si>
  <si>
    <t>JitterDirectionBias</t>
  </si>
  <si>
    <t>JitterClusters</t>
  </si>
  <si>
    <t>WaveFailTime</t>
  </si>
  <si>
    <t>81.4624</t>
  </si>
  <si>
    <t>103.0157</t>
  </si>
  <si>
    <t>125.6442</t>
  </si>
  <si>
    <t>147.4213</t>
  </si>
  <si>
    <t>194.1956</t>
  </si>
  <si>
    <t>224.8233</t>
  </si>
  <si>
    <t>249.2829</t>
  </si>
  <si>
    <t>269.2463</t>
  </si>
  <si>
    <t>295.7316</t>
  </si>
  <si>
    <t>317.2813</t>
  </si>
  <si>
    <t>333.5407</t>
  </si>
  <si>
    <t>353.6657</t>
  </si>
  <si>
    <t>375.6309</t>
  </si>
  <si>
    <t>395.1957</t>
  </si>
  <si>
    <t>418.0145</t>
  </si>
  <si>
    <t>439.3987</t>
  </si>
  <si>
    <t>478.3224</t>
  </si>
  <si>
    <t>514.1011</t>
  </si>
  <si>
    <t>534.6068</t>
  </si>
  <si>
    <t>EventType</t>
  </si>
  <si>
    <t>SegmentID</t>
  </si>
  <si>
    <t>GateID</t>
  </si>
  <si>
    <t>EntryTime</t>
  </si>
  <si>
    <t>ExitTime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</si>
  <si>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</si>
  <si>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</si>
  <si>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</si>
  <si>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</si>
  <si>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</si>
  <si>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</si>
  <si>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</si>
  <si>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</si>
  <si>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</si>
  <si>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</si>
  <si>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</si>
  <si>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</si>
  <si>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GATE</t>
  </si>
  <si>
    <t>DEATH</t>
  </si>
  <si>
    <t>ElementID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</si>
  <si>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</si>
  <si>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</si>
  <si>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</si>
  <si>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</si>
  <si>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</si>
  <si>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</si>
  <si>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</si>
  <si>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</si>
  <si>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RawCorrectionsCount</t>
  </si>
  <si>
    <t>ExtraCol_13</t>
  </si>
  <si>
    <t>ExtraCol_14</t>
  </si>
  <si>
    <t>ExtraCol_15</t>
  </si>
  <si>
    <t>Platform</t>
  </si>
  <si>
    <t>Checkpoint</t>
  </si>
  <si>
    <t>Tiempo Absoluto (seg)</t>
  </si>
  <si>
    <t>Tiempo Desde Anterior (seg)</t>
  </si>
  <si>
    <t>Muertes entre checkpoints</t>
  </si>
  <si>
    <t>Muertes totales</t>
  </si>
  <si>
    <t>Muertes por enemigos</t>
  </si>
  <si>
    <t>Muertes por vacío</t>
  </si>
  <si>
    <t>Enemigos eliminados</t>
  </si>
  <si>
    <t>Disparos Blaster</t>
  </si>
  <si>
    <t>Acertados Blaster</t>
  </si>
  <si>
    <t>Fallados Blaster</t>
  </si>
  <si>
    <t>Precisión Blaster (%)</t>
  </si>
  <si>
    <t>Disparos Escopeta</t>
  </si>
  <si>
    <t>Acertados Escopeta</t>
  </si>
  <si>
    <t>Fallados Escopeta</t>
  </si>
  <si>
    <t>Precisión Escopeta (%)</t>
  </si>
  <si>
    <t>Disparos Totales</t>
  </si>
  <si>
    <t>Acertados Totales</t>
  </si>
  <si>
    <t>Fallados Totales</t>
  </si>
  <si>
    <t>Precisión Total (%)</t>
  </si>
  <si>
    <t>Checkpoint_7</t>
  </si>
  <si>
    <t>Checkpoint_8</t>
  </si>
  <si>
    <t>Checkpoint_9</t>
  </si>
  <si>
    <t>Checkpoint_10</t>
  </si>
  <si>
    <t>Checkpoint_1</t>
  </si>
  <si>
    <t>Checkpoint_2</t>
  </si>
  <si>
    <t>Checkpoint_3</t>
  </si>
  <si>
    <t>Checkpoint_4</t>
  </si>
  <si>
    <t>Checkpoint_5</t>
  </si>
  <si>
    <t>Orientation</t>
  </si>
  <si>
    <t>Trajectory</t>
  </si>
  <si>
    <t>Landing</t>
  </si>
  <si>
    <t>Jitter</t>
  </si>
  <si>
    <t>Movement</t>
  </si>
  <si>
    <t>ObstacleType</t>
  </si>
  <si>
    <t>ClearType</t>
  </si>
  <si>
    <t>MinClearance</t>
  </si>
  <si>
    <t>MicroCorrections</t>
  </si>
  <si>
    <t>ObstacleDuration</t>
  </si>
  <si>
    <t>ExtraCol_17</t>
  </si>
  <si>
    <t>Obstacle</t>
  </si>
  <si>
    <t>Multitasking</t>
  </si>
  <si>
    <t>GeneralStats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</si>
</sst>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20"/>
      <color theme="1"/>
      <name val="Aharoni"/>
      <charset val="177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anes\adaptative_microgame\Assets\FPS\Scripts\RegistersPerName\LourdesArtigas\LourdesArtigas_Session_2026-01-25_01-27-00.xlsx" TargetMode="External"/><Relationship Id="rId1" Type="http://schemas.openxmlformats.org/officeDocument/2006/relationships/externalLinkPath" Target="/Users/Juanes/adaptative_microgame/Assets/FPS/Scripts/RegistersPerName/LourdesArtigas/LourdesArtigas_Session_2026-01-25_01-27-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entation"/>
      <sheetName val="Trajectory"/>
      <sheetName val="Landing"/>
      <sheetName val="Multitasking"/>
      <sheetName val="Jitter"/>
      <sheetName val="Obstacle"/>
      <sheetName val="Movement"/>
      <sheetName val="GeneralStats"/>
      <sheetName val="AVERA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Checkpoint</v>
          </cell>
          <cell r="B1" t="str">
            <v>Tiempo Absoluto (seg)</v>
          </cell>
          <cell r="C1" t="str">
            <v>Tiempo Desde Anterior (seg)</v>
          </cell>
          <cell r="D1" t="str">
            <v>Muertes entre checkpoints</v>
          </cell>
          <cell r="E1" t="str">
            <v>Muertes totales</v>
          </cell>
          <cell r="F1" t="str">
            <v>Muertes por enemigos</v>
          </cell>
          <cell r="G1" t="str">
            <v>Muertes por vacío</v>
          </cell>
          <cell r="H1" t="str">
            <v>Enemigos eliminados</v>
          </cell>
          <cell r="I1" t="str">
            <v>Disparos Blaster</v>
          </cell>
          <cell r="J1" t="str">
            <v>Acertados Blaster</v>
          </cell>
          <cell r="K1" t="str">
            <v>Fallados Blaster</v>
          </cell>
          <cell r="L1" t="str">
            <v>Precisión Blaster (%)</v>
          </cell>
          <cell r="M1" t="str">
            <v>Disparos Escopeta</v>
          </cell>
          <cell r="N1" t="str">
            <v>Acertados Escopeta</v>
          </cell>
          <cell r="O1" t="str">
            <v>Fallados Escopeta</v>
          </cell>
          <cell r="P1" t="str">
            <v>Precisión Escopeta (%)</v>
          </cell>
          <cell r="Q1" t="str">
            <v>Disparos Totales</v>
          </cell>
          <cell r="R1" t="str">
            <v>Acertados Totales</v>
          </cell>
          <cell r="S1" t="str">
            <v>Fallados Totales</v>
          </cell>
          <cell r="T1" t="str">
            <v>Precisión Total (%)</v>
          </cell>
        </row>
        <row r="2">
          <cell r="A2" t="str">
            <v>Checkpoint_1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</row>
        <row r="3">
          <cell r="A3" t="str">
            <v>Checkpoint_2</v>
          </cell>
          <cell r="B3">
            <v>193.1</v>
          </cell>
          <cell r="C3">
            <v>193.1</v>
          </cell>
          <cell r="D3">
            <v>1</v>
          </cell>
          <cell r="E3">
            <v>1</v>
          </cell>
          <cell r="F3">
            <v>1</v>
          </cell>
          <cell r="G3">
            <v>0</v>
          </cell>
          <cell r="H3">
            <v>8</v>
          </cell>
          <cell r="I3">
            <v>113</v>
          </cell>
          <cell r="J3">
            <v>56</v>
          </cell>
          <cell r="K3">
            <v>57</v>
          </cell>
          <cell r="L3">
            <v>49.6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113</v>
          </cell>
          <cell r="R3">
            <v>56</v>
          </cell>
          <cell r="S3">
            <v>57</v>
          </cell>
          <cell r="T3">
            <v>49.6</v>
          </cell>
        </row>
        <row r="4">
          <cell r="A4" t="str">
            <v>Checkpoint_3</v>
          </cell>
          <cell r="B4">
            <v>272.5</v>
          </cell>
          <cell r="C4">
            <v>79.400000000000006</v>
          </cell>
          <cell r="D4">
            <v>1</v>
          </cell>
          <cell r="E4">
            <v>2</v>
          </cell>
          <cell r="F4">
            <v>1</v>
          </cell>
          <cell r="G4">
            <v>0</v>
          </cell>
          <cell r="H4">
            <v>0</v>
          </cell>
          <cell r="I4">
            <v>57</v>
          </cell>
          <cell r="J4">
            <v>31</v>
          </cell>
          <cell r="K4">
            <v>26</v>
          </cell>
          <cell r="L4">
            <v>54.4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57</v>
          </cell>
          <cell r="R4">
            <v>31</v>
          </cell>
          <cell r="S4">
            <v>26</v>
          </cell>
          <cell r="T4">
            <v>54.4</v>
          </cell>
        </row>
        <row r="5">
          <cell r="A5" t="str">
            <v>Checkpoint_4</v>
          </cell>
          <cell r="B5">
            <v>432.42</v>
          </cell>
          <cell r="C5">
            <v>159.91999999999999</v>
          </cell>
          <cell r="D5">
            <v>4</v>
          </cell>
          <cell r="E5">
            <v>6</v>
          </cell>
          <cell r="F5">
            <v>0</v>
          </cell>
          <cell r="G5">
            <v>4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</row>
        <row r="6">
          <cell r="A6" t="str">
            <v>Checkpoint_5</v>
          </cell>
          <cell r="B6">
            <v>674.72</v>
          </cell>
          <cell r="C6">
            <v>242.3</v>
          </cell>
          <cell r="D6">
            <v>11</v>
          </cell>
          <cell r="E6">
            <v>17</v>
          </cell>
          <cell r="F6">
            <v>0</v>
          </cell>
          <cell r="G6">
            <v>11</v>
          </cell>
          <cell r="H6">
            <v>7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</row>
        <row r="7">
          <cell r="A7" t="str">
            <v>Checkpoint_6</v>
          </cell>
          <cell r="B7">
            <v>14.14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</row>
        <row r="8">
          <cell r="A8" t="str">
            <v>Checkpoint_7</v>
          </cell>
          <cell r="B8">
            <v>56.6</v>
          </cell>
          <cell r="C8">
            <v>42.46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4</v>
          </cell>
          <cell r="I8">
            <v>60</v>
          </cell>
          <cell r="J8">
            <v>26</v>
          </cell>
          <cell r="K8">
            <v>34</v>
          </cell>
          <cell r="L8">
            <v>43.3</v>
          </cell>
          <cell r="M8">
            <v>3</v>
          </cell>
          <cell r="N8">
            <v>1</v>
          </cell>
          <cell r="O8">
            <v>2</v>
          </cell>
          <cell r="P8">
            <v>33.299999999999997</v>
          </cell>
          <cell r="Q8">
            <v>63</v>
          </cell>
          <cell r="R8">
            <v>27</v>
          </cell>
          <cell r="S8">
            <v>36</v>
          </cell>
          <cell r="T8">
            <v>42.9</v>
          </cell>
        </row>
        <row r="9">
          <cell r="A9" t="str">
            <v>Checkpoint_8</v>
          </cell>
          <cell r="B9">
            <v>121.52</v>
          </cell>
          <cell r="C9">
            <v>64.92</v>
          </cell>
          <cell r="D9">
            <v>3</v>
          </cell>
          <cell r="E9">
            <v>3</v>
          </cell>
          <cell r="F9">
            <v>0</v>
          </cell>
          <cell r="G9">
            <v>3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</row>
        <row r="10">
          <cell r="A10" t="str">
            <v>Checkpoint_9</v>
          </cell>
          <cell r="B10">
            <v>221.14</v>
          </cell>
          <cell r="C10">
            <v>99.62</v>
          </cell>
          <cell r="D10">
            <v>6</v>
          </cell>
          <cell r="E10">
            <v>9</v>
          </cell>
          <cell r="F10">
            <v>0</v>
          </cell>
          <cell r="G10">
            <v>6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A11" t="str">
            <v>Checkpoint_10</v>
          </cell>
          <cell r="B11">
            <v>230.02</v>
          </cell>
          <cell r="C11">
            <v>8.8800000000000008</v>
          </cell>
          <cell r="D11">
            <v>0</v>
          </cell>
          <cell r="E11">
            <v>9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A12" t="str">
            <v>Final_Level</v>
          </cell>
          <cell r="B12">
            <v>450.7</v>
          </cell>
          <cell r="C12">
            <v>220.68</v>
          </cell>
          <cell r="D12">
            <v>2</v>
          </cell>
          <cell r="E12">
            <v>11</v>
          </cell>
          <cell r="F12">
            <v>0</v>
          </cell>
          <cell r="G12">
            <v>2</v>
          </cell>
          <cell r="H12">
            <v>2</v>
          </cell>
          <cell r="I12">
            <v>30</v>
          </cell>
          <cell r="J12">
            <v>20</v>
          </cell>
          <cell r="K12">
            <v>10</v>
          </cell>
          <cell r="L12">
            <v>66.7</v>
          </cell>
          <cell r="M12">
            <v>29</v>
          </cell>
          <cell r="N12">
            <v>12</v>
          </cell>
          <cell r="O12">
            <v>17</v>
          </cell>
          <cell r="P12">
            <v>41.4</v>
          </cell>
          <cell r="Q12">
            <v>59</v>
          </cell>
          <cell r="R12">
            <v>32</v>
          </cell>
          <cell r="S12">
            <v>27</v>
          </cell>
          <cell r="T12">
            <v>54.2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workbookViewId="0">
      <selection activeCell="I5" sqref="I5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 x14ac:dyDescent="0.3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t="s">
        <v>15</v>
      </c>
      <c r="I3" t="s">
        <v>22</v>
      </c>
    </row>
    <row r="4" spans="1:9" x14ac:dyDescent="0.3">
      <c r="A4" t="s">
        <v>9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15</v>
      </c>
      <c r="H4" t="s">
        <v>28</v>
      </c>
      <c r="I4" t="s">
        <v>29</v>
      </c>
    </row>
    <row r="5" spans="1:9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15</v>
      </c>
      <c r="H5" t="s">
        <v>15</v>
      </c>
      <c r="I5" t="s">
        <v>16</v>
      </c>
    </row>
    <row r="6" spans="1:9" x14ac:dyDescent="0.3">
      <c r="A6" t="s">
        <v>30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15</v>
      </c>
      <c r="H6" t="s">
        <v>28</v>
      </c>
      <c r="I6" t="s">
        <v>22</v>
      </c>
    </row>
    <row r="7" spans="1:9" x14ac:dyDescent="0.3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15</v>
      </c>
      <c r="H7" t="s">
        <v>15</v>
      </c>
      <c r="I7" t="s">
        <v>16</v>
      </c>
    </row>
    <row r="8" spans="1:9" x14ac:dyDescent="0.3">
      <c r="A8" t="s">
        <v>41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15</v>
      </c>
      <c r="H8" t="s">
        <v>15</v>
      </c>
      <c r="I8" t="s">
        <v>22</v>
      </c>
    </row>
    <row r="9" spans="1:9" x14ac:dyDescent="0.3">
      <c r="A9" t="s">
        <v>41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15</v>
      </c>
      <c r="H9" t="s">
        <v>28</v>
      </c>
      <c r="I9" t="s">
        <v>29</v>
      </c>
    </row>
    <row r="10" spans="1:9" x14ac:dyDescent="0.3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15</v>
      </c>
      <c r="H10" t="s">
        <v>15</v>
      </c>
      <c r="I10" t="s">
        <v>16</v>
      </c>
    </row>
    <row r="11" spans="1:9" x14ac:dyDescent="0.3">
      <c r="A11" t="s">
        <v>57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15</v>
      </c>
      <c r="H11" t="s">
        <v>15</v>
      </c>
      <c r="I11" t="s">
        <v>22</v>
      </c>
    </row>
    <row r="12" spans="1:9" x14ac:dyDescent="0.3">
      <c r="A12" t="s">
        <v>57</v>
      </c>
      <c r="B12" t="s">
        <v>68</v>
      </c>
      <c r="C12" t="s">
        <v>69</v>
      </c>
      <c r="D12" t="s">
        <v>70</v>
      </c>
      <c r="E12" t="s">
        <v>15</v>
      </c>
      <c r="F12" t="s">
        <v>15</v>
      </c>
      <c r="G12" t="s">
        <v>15</v>
      </c>
      <c r="H12" t="s">
        <v>15</v>
      </c>
      <c r="I12" t="s">
        <v>29</v>
      </c>
    </row>
    <row r="13" spans="1:9" x14ac:dyDescent="0.3">
      <c r="A13" t="s">
        <v>57</v>
      </c>
      <c r="B13" t="s">
        <v>71</v>
      </c>
      <c r="C13" t="s">
        <v>72</v>
      </c>
      <c r="D13" t="s">
        <v>73</v>
      </c>
      <c r="E13" t="s">
        <v>72</v>
      </c>
      <c r="F13" t="s">
        <v>28</v>
      </c>
      <c r="G13" t="s">
        <v>15</v>
      </c>
      <c r="H13" t="s">
        <v>15</v>
      </c>
      <c r="I13" t="s">
        <v>74</v>
      </c>
    </row>
    <row r="14" spans="1:9" x14ac:dyDescent="0.3">
      <c r="A14" t="s">
        <v>57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15</v>
      </c>
      <c r="H14" t="s">
        <v>15</v>
      </c>
      <c r="I14" t="s">
        <v>74</v>
      </c>
    </row>
    <row r="15" spans="1:9" x14ac:dyDescent="0.3">
      <c r="A15" t="s">
        <v>57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15</v>
      </c>
      <c r="H15" t="s">
        <v>15</v>
      </c>
      <c r="I15" t="s">
        <v>85</v>
      </c>
    </row>
    <row r="16" spans="1:9" x14ac:dyDescent="0.3">
      <c r="A16" t="s">
        <v>57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s">
        <v>15</v>
      </c>
      <c r="H16" t="s">
        <v>28</v>
      </c>
      <c r="I16" t="s">
        <v>91</v>
      </c>
    </row>
    <row r="17" spans="1:9" x14ac:dyDescent="0.3">
      <c r="A17" t="s">
        <v>92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t="s">
        <v>15</v>
      </c>
      <c r="H17" t="s">
        <v>15</v>
      </c>
      <c r="I17" t="s">
        <v>16</v>
      </c>
    </row>
    <row r="18" spans="1:9" x14ac:dyDescent="0.3">
      <c r="A18" t="s">
        <v>92</v>
      </c>
      <c r="B18" t="s">
        <v>98</v>
      </c>
      <c r="C18" t="s">
        <v>99</v>
      </c>
      <c r="D18" t="s">
        <v>100</v>
      </c>
      <c r="E18" t="s">
        <v>101</v>
      </c>
      <c r="F18" t="s">
        <v>102</v>
      </c>
      <c r="G18" t="s">
        <v>15</v>
      </c>
      <c r="H18" t="s">
        <v>15</v>
      </c>
      <c r="I18" t="s">
        <v>22</v>
      </c>
    </row>
    <row r="19" spans="1:9" x14ac:dyDescent="0.3">
      <c r="A19" t="s">
        <v>92</v>
      </c>
      <c r="B19" t="s">
        <v>103</v>
      </c>
      <c r="C19" t="s">
        <v>104</v>
      </c>
      <c r="D19" t="s">
        <v>105</v>
      </c>
      <c r="E19" t="s">
        <v>15</v>
      </c>
      <c r="F19" t="s">
        <v>15</v>
      </c>
      <c r="G19" t="s">
        <v>15</v>
      </c>
      <c r="H19" t="s">
        <v>15</v>
      </c>
      <c r="I19" t="s">
        <v>29</v>
      </c>
    </row>
    <row r="20" spans="1:9" x14ac:dyDescent="0.3">
      <c r="A20" t="s">
        <v>92</v>
      </c>
      <c r="B20" t="s">
        <v>106</v>
      </c>
      <c r="C20" t="s">
        <v>107</v>
      </c>
      <c r="D20" t="s">
        <v>108</v>
      </c>
      <c r="E20" t="s">
        <v>107</v>
      </c>
      <c r="F20" t="s">
        <v>28</v>
      </c>
      <c r="G20" t="s">
        <v>15</v>
      </c>
      <c r="H20" t="s">
        <v>28</v>
      </c>
      <c r="I20" t="s">
        <v>74</v>
      </c>
    </row>
    <row r="21" spans="1:9" x14ac:dyDescent="0.3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  <c r="G21" t="s">
        <v>15</v>
      </c>
      <c r="H21" t="s">
        <v>15</v>
      </c>
      <c r="I21" t="s">
        <v>16</v>
      </c>
    </row>
    <row r="22" spans="1:9" x14ac:dyDescent="0.3">
      <c r="A22" t="s">
        <v>109</v>
      </c>
      <c r="B22" t="s">
        <v>115</v>
      </c>
      <c r="C22" t="s">
        <v>116</v>
      </c>
      <c r="D22" t="s">
        <v>117</v>
      </c>
      <c r="E22" t="s">
        <v>118</v>
      </c>
      <c r="F22" t="s">
        <v>119</v>
      </c>
      <c r="G22" t="s">
        <v>15</v>
      </c>
      <c r="H22" t="s">
        <v>15</v>
      </c>
      <c r="I22" t="s">
        <v>22</v>
      </c>
    </row>
    <row r="23" spans="1:9" x14ac:dyDescent="0.3">
      <c r="A23" t="s">
        <v>109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  <c r="G23" t="s">
        <v>15</v>
      </c>
      <c r="H23" t="s">
        <v>15</v>
      </c>
      <c r="I23" t="s">
        <v>29</v>
      </c>
    </row>
    <row r="24" spans="1:9" x14ac:dyDescent="0.3">
      <c r="A24" t="s">
        <v>109</v>
      </c>
      <c r="B24" t="s">
        <v>125</v>
      </c>
      <c r="C24" t="s">
        <v>126</v>
      </c>
      <c r="D24" t="s">
        <v>127</v>
      </c>
      <c r="E24" t="s">
        <v>128</v>
      </c>
      <c r="F24" t="s">
        <v>129</v>
      </c>
      <c r="G24" t="s">
        <v>15</v>
      </c>
      <c r="H24" t="s">
        <v>28</v>
      </c>
      <c r="I24" t="s">
        <v>74</v>
      </c>
    </row>
    <row r="25" spans="1:9" x14ac:dyDescent="0.3">
      <c r="A25" t="s">
        <v>130</v>
      </c>
      <c r="B25" t="s">
        <v>131</v>
      </c>
      <c r="C25" t="s">
        <v>132</v>
      </c>
      <c r="D25" t="s">
        <v>133</v>
      </c>
      <c r="E25" t="s">
        <v>134</v>
      </c>
      <c r="F25" t="s">
        <v>135</v>
      </c>
      <c r="G25" t="s">
        <v>15</v>
      </c>
      <c r="H25" t="s">
        <v>15</v>
      </c>
      <c r="I25" t="s">
        <v>16</v>
      </c>
    </row>
    <row r="26" spans="1:9" x14ac:dyDescent="0.3">
      <c r="A26" t="s">
        <v>130</v>
      </c>
      <c r="B26" t="s">
        <v>136</v>
      </c>
      <c r="C26" t="s">
        <v>137</v>
      </c>
      <c r="D26" t="s">
        <v>138</v>
      </c>
      <c r="E26" t="s">
        <v>139</v>
      </c>
      <c r="F26" t="s">
        <v>140</v>
      </c>
      <c r="G26" t="s">
        <v>15</v>
      </c>
      <c r="H26" t="s">
        <v>28</v>
      </c>
      <c r="I26" t="s">
        <v>22</v>
      </c>
    </row>
    <row r="27" spans="1:9" x14ac:dyDescent="0.3">
      <c r="A27" t="s">
        <v>141</v>
      </c>
      <c r="B27" t="s">
        <v>142</v>
      </c>
      <c r="C27" t="s">
        <v>143</v>
      </c>
      <c r="D27" t="s">
        <v>144</v>
      </c>
      <c r="E27" t="s">
        <v>145</v>
      </c>
      <c r="F27" t="s">
        <v>146</v>
      </c>
      <c r="G27" t="s">
        <v>15</v>
      </c>
      <c r="H27" t="s">
        <v>15</v>
      </c>
      <c r="I27" t="s">
        <v>16</v>
      </c>
    </row>
    <row r="28" spans="1:9" x14ac:dyDescent="0.3">
      <c r="A28" t="s">
        <v>141</v>
      </c>
      <c r="B28" t="s">
        <v>147</v>
      </c>
      <c r="C28" t="s">
        <v>148</v>
      </c>
      <c r="D28" t="s">
        <v>149</v>
      </c>
      <c r="E28" t="s">
        <v>150</v>
      </c>
      <c r="F28" t="s">
        <v>151</v>
      </c>
      <c r="G28" t="s">
        <v>15</v>
      </c>
      <c r="H28" t="s">
        <v>15</v>
      </c>
      <c r="I28" t="s">
        <v>22</v>
      </c>
    </row>
    <row r="29" spans="1:9" x14ac:dyDescent="0.3">
      <c r="A29" t="s">
        <v>141</v>
      </c>
      <c r="B29" t="s">
        <v>152</v>
      </c>
      <c r="C29" t="s">
        <v>153</v>
      </c>
      <c r="D29" t="s">
        <v>154</v>
      </c>
      <c r="E29" t="s">
        <v>155</v>
      </c>
      <c r="F29" t="s">
        <v>156</v>
      </c>
      <c r="G29" t="s">
        <v>15</v>
      </c>
      <c r="H29" t="s">
        <v>15</v>
      </c>
      <c r="I29" t="s">
        <v>29</v>
      </c>
    </row>
    <row r="30" spans="1:9" x14ac:dyDescent="0.3">
      <c r="A30" t="s">
        <v>141</v>
      </c>
      <c r="B30" t="s">
        <v>157</v>
      </c>
      <c r="C30" t="s">
        <v>158</v>
      </c>
      <c r="D30" t="s">
        <v>159</v>
      </c>
      <c r="E30" t="s">
        <v>160</v>
      </c>
      <c r="F30" t="s">
        <v>161</v>
      </c>
      <c r="G30" t="s">
        <v>15</v>
      </c>
      <c r="H30" t="s">
        <v>15</v>
      </c>
      <c r="I30" t="s">
        <v>74</v>
      </c>
    </row>
    <row r="31" spans="1:9" x14ac:dyDescent="0.3">
      <c r="A31" t="s">
        <v>141</v>
      </c>
      <c r="B31" t="s">
        <v>162</v>
      </c>
      <c r="C31" t="s">
        <v>163</v>
      </c>
      <c r="D31" t="s">
        <v>164</v>
      </c>
      <c r="E31" t="s">
        <v>15</v>
      </c>
      <c r="F31" t="s">
        <v>15</v>
      </c>
      <c r="G31" t="s">
        <v>15</v>
      </c>
      <c r="H31" t="s">
        <v>15</v>
      </c>
      <c r="I31" t="s">
        <v>85</v>
      </c>
    </row>
    <row r="32" spans="1:9" x14ac:dyDescent="0.3">
      <c r="A32" t="s">
        <v>141</v>
      </c>
      <c r="B32" t="s">
        <v>165</v>
      </c>
      <c r="C32" t="s">
        <v>166</v>
      </c>
      <c r="D32" t="s">
        <v>167</v>
      </c>
      <c r="E32" t="s">
        <v>168</v>
      </c>
      <c r="F32" t="s">
        <v>169</v>
      </c>
      <c r="G32" t="s">
        <v>15</v>
      </c>
      <c r="H32" t="s">
        <v>15</v>
      </c>
      <c r="I32" t="s">
        <v>91</v>
      </c>
    </row>
    <row r="33" spans="1:9" x14ac:dyDescent="0.3">
      <c r="A33" t="s">
        <v>141</v>
      </c>
      <c r="B33" t="s">
        <v>170</v>
      </c>
      <c r="C33" t="s">
        <v>171</v>
      </c>
      <c r="D33" t="s">
        <v>172</v>
      </c>
      <c r="E33" t="s">
        <v>173</v>
      </c>
      <c r="F33" t="s">
        <v>174</v>
      </c>
      <c r="G33" t="s">
        <v>15</v>
      </c>
      <c r="H33" t="s">
        <v>15</v>
      </c>
      <c r="I33" t="s">
        <v>175</v>
      </c>
    </row>
    <row r="34" spans="1:9" x14ac:dyDescent="0.3">
      <c r="A34" t="s">
        <v>141</v>
      </c>
      <c r="B34" t="s">
        <v>176</v>
      </c>
      <c r="C34" t="s">
        <v>177</v>
      </c>
      <c r="D34" t="s">
        <v>178</v>
      </c>
      <c r="E34" t="s">
        <v>177</v>
      </c>
      <c r="F34" t="s">
        <v>28</v>
      </c>
      <c r="G34" t="s">
        <v>15</v>
      </c>
      <c r="H34" t="s">
        <v>15</v>
      </c>
      <c r="I34" t="s">
        <v>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tabSelected="1" topLeftCell="A19" workbookViewId="0">
      <selection activeCell="H6" sqref="H6"/>
    </sheetView>
  </sheetViews>
  <sheetFormatPr defaultRowHeight="14.4" x14ac:dyDescent="0.3"/>
  <sheetData>
    <row r="1" spans="1:12" x14ac:dyDescent="0.3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7</v>
      </c>
      <c r="L1" s="1" t="s">
        <v>189</v>
      </c>
    </row>
    <row r="2" spans="1:12" x14ac:dyDescent="0.3">
      <c r="A2" t="s">
        <v>9</v>
      </c>
      <c r="B2">
        <v>407.87950000000001</v>
      </c>
      <c r="C2">
        <v>1.1145320000000001</v>
      </c>
      <c r="D2">
        <v>1</v>
      </c>
      <c r="E2">
        <v>1.908274</v>
      </c>
      <c r="F2">
        <v>7.3304320000000001</v>
      </c>
      <c r="G2">
        <v>0.1959176</v>
      </c>
      <c r="H2">
        <v>0.1628127</v>
      </c>
      <c r="I2">
        <v>11.45417</v>
      </c>
      <c r="J2">
        <v>3.0716559999999999</v>
      </c>
      <c r="K2">
        <v>0</v>
      </c>
      <c r="L2" t="s">
        <v>16</v>
      </c>
    </row>
    <row r="3" spans="1:12" x14ac:dyDescent="0.3">
      <c r="A3" t="s">
        <v>9</v>
      </c>
      <c r="B3">
        <v>414.60919999999999</v>
      </c>
      <c r="C3">
        <v>1.480804</v>
      </c>
      <c r="D3">
        <v>1</v>
      </c>
      <c r="E3">
        <v>2.7056629999999999</v>
      </c>
      <c r="F3">
        <v>9.5889019999999991</v>
      </c>
      <c r="G3">
        <v>0.3592938</v>
      </c>
      <c r="H3">
        <v>1.502257</v>
      </c>
      <c r="I3">
        <v>16.929970000000001</v>
      </c>
      <c r="J3">
        <v>7.7186269999999997</v>
      </c>
      <c r="K3">
        <v>0</v>
      </c>
      <c r="L3" t="s">
        <v>22</v>
      </c>
    </row>
    <row r="4" spans="1:12" x14ac:dyDescent="0.3">
      <c r="A4" t="s">
        <v>9</v>
      </c>
      <c r="B4">
        <v>419.85829999999999</v>
      </c>
      <c r="C4">
        <v>2.7167050000000001</v>
      </c>
      <c r="D4">
        <v>0.91127559999999996</v>
      </c>
      <c r="E4">
        <v>2.61328</v>
      </c>
      <c r="F4">
        <v>8.7399660000000008</v>
      </c>
      <c r="G4">
        <v>0.65570260000000002</v>
      </c>
      <c r="H4">
        <v>9.9151480000000003</v>
      </c>
      <c r="I4">
        <v>34.684399999999997</v>
      </c>
      <c r="J4">
        <v>22.62792</v>
      </c>
      <c r="K4">
        <v>1</v>
      </c>
      <c r="L4" t="s">
        <v>29</v>
      </c>
    </row>
    <row r="5" spans="1:12" x14ac:dyDescent="0.3">
      <c r="A5" t="s">
        <v>30</v>
      </c>
      <c r="B5">
        <v>432.2801</v>
      </c>
      <c r="C5">
        <v>1.344147</v>
      </c>
      <c r="D5">
        <v>1</v>
      </c>
      <c r="E5">
        <v>2.3641369999999999</v>
      </c>
      <c r="F5">
        <v>9.0336580000000009</v>
      </c>
      <c r="G5">
        <v>0.23805370000000001</v>
      </c>
      <c r="H5">
        <v>1.105307</v>
      </c>
      <c r="I5">
        <v>14.655379999999999</v>
      </c>
      <c r="J5">
        <v>5.8219729999999998</v>
      </c>
      <c r="K5">
        <v>0</v>
      </c>
      <c r="L5" t="s">
        <v>16</v>
      </c>
    </row>
    <row r="6" spans="1:12" x14ac:dyDescent="0.3">
      <c r="A6" t="s">
        <v>30</v>
      </c>
      <c r="B6">
        <v>435.43880000000001</v>
      </c>
      <c r="C6">
        <v>1.6342159999999999</v>
      </c>
      <c r="D6">
        <v>1</v>
      </c>
      <c r="E6">
        <v>2.5439409999999998</v>
      </c>
      <c r="F6">
        <v>8.382358</v>
      </c>
      <c r="G6">
        <v>0.57189630000000002</v>
      </c>
      <c r="H6">
        <v>11.964639999999999</v>
      </c>
      <c r="I6">
        <v>20.637149999999998</v>
      </c>
      <c r="J6">
        <v>11.35782</v>
      </c>
      <c r="K6">
        <v>1</v>
      </c>
      <c r="L6" t="s">
        <v>22</v>
      </c>
    </row>
    <row r="7" spans="1:12" x14ac:dyDescent="0.3">
      <c r="A7" t="s">
        <v>41</v>
      </c>
      <c r="B7">
        <v>445.28969999999998</v>
      </c>
      <c r="C7">
        <v>1.0974120000000001</v>
      </c>
      <c r="D7">
        <v>1</v>
      </c>
      <c r="E7">
        <v>2.0969310000000001</v>
      </c>
      <c r="F7">
        <v>7.6975049999999996</v>
      </c>
      <c r="G7">
        <v>0.19016060000000001</v>
      </c>
      <c r="H7">
        <v>2.6334840000000002</v>
      </c>
      <c r="I7">
        <v>11.71393</v>
      </c>
      <c r="J7">
        <v>4.3413050000000002</v>
      </c>
      <c r="K7">
        <v>0</v>
      </c>
      <c r="L7" t="s">
        <v>16</v>
      </c>
    </row>
    <row r="8" spans="1:12" x14ac:dyDescent="0.3">
      <c r="A8" t="s">
        <v>41</v>
      </c>
      <c r="B8">
        <v>449.63389999999998</v>
      </c>
      <c r="C8">
        <v>1.161835</v>
      </c>
      <c r="D8">
        <v>1</v>
      </c>
      <c r="E8">
        <v>3.159875</v>
      </c>
      <c r="F8">
        <v>11.16774</v>
      </c>
      <c r="G8">
        <v>0.30716310000000002</v>
      </c>
      <c r="H8">
        <v>3.1501990000000002</v>
      </c>
      <c r="I8">
        <v>12.44966</v>
      </c>
      <c r="J8">
        <v>4.6566080000000003</v>
      </c>
      <c r="K8">
        <v>0</v>
      </c>
      <c r="L8" t="s">
        <v>22</v>
      </c>
    </row>
    <row r="9" spans="1:12" x14ac:dyDescent="0.3">
      <c r="A9" t="s">
        <v>41</v>
      </c>
      <c r="B9">
        <v>453.75310000000002</v>
      </c>
      <c r="C9">
        <v>1.71637</v>
      </c>
      <c r="D9">
        <v>1</v>
      </c>
      <c r="E9">
        <v>1.856177</v>
      </c>
      <c r="F9">
        <v>5.6169929999999999</v>
      </c>
      <c r="G9">
        <v>0.67634530000000004</v>
      </c>
      <c r="H9">
        <v>9.6131309999999992</v>
      </c>
      <c r="I9">
        <v>24.453849999999999</v>
      </c>
      <c r="J9">
        <v>15.67324</v>
      </c>
      <c r="K9">
        <v>1</v>
      </c>
      <c r="L9" t="s">
        <v>29</v>
      </c>
    </row>
    <row r="10" spans="1:12" x14ac:dyDescent="0.3">
      <c r="A10" t="s">
        <v>57</v>
      </c>
      <c r="B10">
        <v>461.85950000000003</v>
      </c>
      <c r="C10">
        <v>1.118042</v>
      </c>
      <c r="D10">
        <v>1</v>
      </c>
      <c r="E10">
        <v>2.538529</v>
      </c>
      <c r="F10">
        <v>9.3346889999999991</v>
      </c>
      <c r="G10">
        <v>0.19638520000000001</v>
      </c>
      <c r="H10">
        <v>1.6203860000000001</v>
      </c>
      <c r="I10">
        <v>11.96561</v>
      </c>
      <c r="J10">
        <v>4.5394690000000004</v>
      </c>
      <c r="K10">
        <v>0</v>
      </c>
      <c r="L10" t="s">
        <v>16</v>
      </c>
    </row>
    <row r="11" spans="1:12" x14ac:dyDescent="0.3">
      <c r="A11" t="s">
        <v>57</v>
      </c>
      <c r="B11">
        <v>465.64049999999997</v>
      </c>
      <c r="C11">
        <v>1.6662600000000001</v>
      </c>
      <c r="D11">
        <v>1</v>
      </c>
      <c r="E11">
        <v>2.4825279999999998</v>
      </c>
      <c r="F11">
        <v>8.4321169999999999</v>
      </c>
      <c r="G11">
        <v>0.33100639999999998</v>
      </c>
      <c r="H11">
        <v>2.6665459999999999</v>
      </c>
      <c r="I11">
        <v>18.54804</v>
      </c>
      <c r="J11">
        <v>7.7542580000000001</v>
      </c>
      <c r="K11">
        <v>0</v>
      </c>
      <c r="L11" t="s">
        <v>22</v>
      </c>
    </row>
    <row r="12" spans="1:12" x14ac:dyDescent="0.3">
      <c r="A12" t="s">
        <v>57</v>
      </c>
      <c r="B12">
        <v>469.96899999999999</v>
      </c>
      <c r="C12">
        <v>1.2688900000000001</v>
      </c>
      <c r="D12">
        <v>1</v>
      </c>
      <c r="E12">
        <v>3.9363980000000001</v>
      </c>
      <c r="F12">
        <v>14.30715</v>
      </c>
      <c r="G12">
        <v>0.30118129999999999</v>
      </c>
      <c r="H12">
        <v>2.1974849999999999</v>
      </c>
      <c r="I12">
        <v>14.30702</v>
      </c>
      <c r="J12">
        <v>6.2197129999999996</v>
      </c>
      <c r="K12">
        <v>0</v>
      </c>
      <c r="L12" t="s">
        <v>29</v>
      </c>
    </row>
    <row r="13" spans="1:12" x14ac:dyDescent="0.3">
      <c r="A13" t="s">
        <v>57</v>
      </c>
      <c r="B13">
        <v>472.2645</v>
      </c>
      <c r="C13">
        <v>0.77667240000000004</v>
      </c>
      <c r="D13">
        <v>1</v>
      </c>
      <c r="E13">
        <v>3.7806359999999999</v>
      </c>
      <c r="F13">
        <v>23.70354</v>
      </c>
      <c r="G13">
        <v>0.1562885</v>
      </c>
      <c r="H13">
        <v>28.18817</v>
      </c>
      <c r="I13">
        <v>5.1038940000000004</v>
      </c>
      <c r="J13">
        <v>3.0981450000000001</v>
      </c>
      <c r="K13">
        <v>0</v>
      </c>
      <c r="L13" t="s">
        <v>74</v>
      </c>
    </row>
    <row r="14" spans="1:12" x14ac:dyDescent="0.3">
      <c r="A14" t="s">
        <v>57</v>
      </c>
      <c r="B14">
        <v>477.62049999999999</v>
      </c>
      <c r="C14">
        <v>1.4482729999999999</v>
      </c>
      <c r="D14">
        <v>1</v>
      </c>
      <c r="E14">
        <v>2.987168</v>
      </c>
      <c r="F14">
        <v>9.5760419999999993</v>
      </c>
      <c r="G14">
        <v>0.2621156</v>
      </c>
      <c r="H14">
        <v>1.920331</v>
      </c>
      <c r="I14">
        <v>15.28515</v>
      </c>
      <c r="J14">
        <v>4.7813819999999998</v>
      </c>
      <c r="K14">
        <v>0</v>
      </c>
      <c r="L14" t="s">
        <v>74</v>
      </c>
    </row>
    <row r="15" spans="1:12" x14ac:dyDescent="0.3">
      <c r="A15" t="s">
        <v>57</v>
      </c>
      <c r="B15">
        <v>482.10109999999997</v>
      </c>
      <c r="C15">
        <v>1.6145020000000001</v>
      </c>
      <c r="D15">
        <v>1</v>
      </c>
      <c r="E15">
        <v>2.835791</v>
      </c>
      <c r="F15">
        <v>8.6478070000000002</v>
      </c>
      <c r="G15">
        <v>0.40399839999999998</v>
      </c>
      <c r="H15">
        <v>1.843602</v>
      </c>
      <c r="I15">
        <v>18.035620000000002</v>
      </c>
      <c r="J15">
        <v>7.7998839999999996</v>
      </c>
      <c r="K15">
        <v>0</v>
      </c>
      <c r="L15" t="s">
        <v>85</v>
      </c>
    </row>
    <row r="16" spans="1:12" x14ac:dyDescent="0.3">
      <c r="A16" t="s">
        <v>57</v>
      </c>
      <c r="B16">
        <v>486.21499999999997</v>
      </c>
      <c r="C16">
        <v>2.6217959999999998</v>
      </c>
      <c r="D16">
        <v>1</v>
      </c>
      <c r="E16">
        <v>4.2634369999999997</v>
      </c>
      <c r="F16">
        <v>12.764390000000001</v>
      </c>
      <c r="G16">
        <v>0.56443849999999995</v>
      </c>
      <c r="H16">
        <v>10.897819999999999</v>
      </c>
      <c r="I16">
        <v>32.064990000000002</v>
      </c>
      <c r="J16">
        <v>16.136610000000001</v>
      </c>
      <c r="K16">
        <v>1</v>
      </c>
      <c r="L16" t="s">
        <v>91</v>
      </c>
    </row>
    <row r="17" spans="1:12" x14ac:dyDescent="0.3">
      <c r="A17" t="s">
        <v>92</v>
      </c>
      <c r="B17">
        <v>495.88459999999998</v>
      </c>
      <c r="C17">
        <v>1.3594059999999999</v>
      </c>
      <c r="D17">
        <v>1</v>
      </c>
      <c r="E17">
        <v>2.4267300000000001</v>
      </c>
      <c r="F17">
        <v>8.99986</v>
      </c>
      <c r="G17">
        <v>0.23165649999999999</v>
      </c>
      <c r="H17">
        <v>2.1858089999999999</v>
      </c>
      <c r="I17">
        <v>14.830249999999999</v>
      </c>
      <c r="J17">
        <v>6.0320450000000001</v>
      </c>
      <c r="K17">
        <v>0</v>
      </c>
      <c r="L17" t="s">
        <v>16</v>
      </c>
    </row>
    <row r="18" spans="1:12" x14ac:dyDescent="0.3">
      <c r="A18" t="s">
        <v>92</v>
      </c>
      <c r="B18">
        <v>500.76519999999999</v>
      </c>
      <c r="C18">
        <v>1.2290650000000001</v>
      </c>
      <c r="D18">
        <v>1</v>
      </c>
      <c r="E18">
        <v>2.5921799999999999</v>
      </c>
      <c r="F18">
        <v>9.0208410000000008</v>
      </c>
      <c r="G18">
        <v>0.2228096</v>
      </c>
      <c r="H18">
        <v>0.92695839999999996</v>
      </c>
      <c r="I18">
        <v>13.218310000000001</v>
      </c>
      <c r="J18">
        <v>4.9346199999999998</v>
      </c>
      <c r="K18">
        <v>0</v>
      </c>
      <c r="L18" t="s">
        <v>22</v>
      </c>
    </row>
    <row r="19" spans="1:12" x14ac:dyDescent="0.3">
      <c r="A19" t="s">
        <v>92</v>
      </c>
      <c r="B19">
        <v>504.05849999999998</v>
      </c>
      <c r="C19">
        <v>0.89282229999999996</v>
      </c>
      <c r="D19">
        <v>1</v>
      </c>
      <c r="E19">
        <v>3.7717869999999998</v>
      </c>
      <c r="F19">
        <v>12.979570000000001</v>
      </c>
      <c r="G19">
        <v>0.26443990000000001</v>
      </c>
      <c r="H19">
        <v>2.8952680000000002</v>
      </c>
      <c r="I19">
        <v>9.8802050000000001</v>
      </c>
      <c r="J19">
        <v>3.8072059999999999</v>
      </c>
      <c r="K19">
        <v>0</v>
      </c>
      <c r="L19" t="s">
        <v>29</v>
      </c>
    </row>
    <row r="20" spans="1:12" x14ac:dyDescent="0.3">
      <c r="A20" t="s">
        <v>92</v>
      </c>
      <c r="B20">
        <v>505.95859999999999</v>
      </c>
      <c r="C20">
        <v>1.3685909999999999</v>
      </c>
      <c r="D20">
        <v>0.23843980000000001</v>
      </c>
      <c r="E20">
        <v>5.478326</v>
      </c>
      <c r="F20">
        <v>31.989570000000001</v>
      </c>
      <c r="G20">
        <v>0.40579009999999999</v>
      </c>
      <c r="H20">
        <v>27.830010000000001</v>
      </c>
      <c r="I20">
        <v>10.44646</v>
      </c>
      <c r="J20">
        <v>9.4125399999999999</v>
      </c>
      <c r="K20">
        <v>1</v>
      </c>
      <c r="L20" t="s">
        <v>74</v>
      </c>
    </row>
    <row r="21" spans="1:12" x14ac:dyDescent="0.3">
      <c r="A21" t="s">
        <v>109</v>
      </c>
      <c r="B21">
        <v>514.48099999999999</v>
      </c>
      <c r="C21">
        <v>1.4498899999999999</v>
      </c>
      <c r="D21">
        <v>1</v>
      </c>
      <c r="E21">
        <v>2.4331170000000002</v>
      </c>
      <c r="F21">
        <v>9.1134620000000002</v>
      </c>
      <c r="G21">
        <v>0.2929737</v>
      </c>
      <c r="H21">
        <v>2.1076229999999998</v>
      </c>
      <c r="I21">
        <v>16.018840000000001</v>
      </c>
      <c r="J21">
        <v>6.6506569999999998</v>
      </c>
      <c r="K21">
        <v>0</v>
      </c>
      <c r="L21" t="s">
        <v>16</v>
      </c>
    </row>
    <row r="22" spans="1:12" x14ac:dyDescent="0.3">
      <c r="A22" t="s">
        <v>109</v>
      </c>
      <c r="B22">
        <v>518.50630000000001</v>
      </c>
      <c r="C22">
        <v>1.6143799999999999</v>
      </c>
      <c r="D22">
        <v>1</v>
      </c>
      <c r="E22">
        <v>2.6554959999999999</v>
      </c>
      <c r="F22">
        <v>9.2799160000000001</v>
      </c>
      <c r="G22">
        <v>0.35372900000000002</v>
      </c>
      <c r="H22">
        <v>3.5892499999999998</v>
      </c>
      <c r="I22">
        <v>17.741620000000001</v>
      </c>
      <c r="J22">
        <v>7.1668649999999996</v>
      </c>
      <c r="K22">
        <v>0</v>
      </c>
      <c r="L22" t="s">
        <v>22</v>
      </c>
    </row>
    <row r="23" spans="1:12" x14ac:dyDescent="0.3">
      <c r="A23" t="s">
        <v>109</v>
      </c>
      <c r="B23">
        <v>522.6182</v>
      </c>
      <c r="C23">
        <v>1.353394</v>
      </c>
      <c r="D23">
        <v>1</v>
      </c>
      <c r="E23">
        <v>3.320478</v>
      </c>
      <c r="F23">
        <v>12.95276</v>
      </c>
      <c r="G23">
        <v>0.22415309999999999</v>
      </c>
      <c r="H23">
        <v>1.0667450000000001</v>
      </c>
      <c r="I23">
        <v>14.612120000000001</v>
      </c>
      <c r="J23">
        <v>4.7736020000000003</v>
      </c>
      <c r="K23">
        <v>0</v>
      </c>
      <c r="L23" t="s">
        <v>29</v>
      </c>
    </row>
    <row r="24" spans="1:12" x14ac:dyDescent="0.3">
      <c r="A24" t="s">
        <v>109</v>
      </c>
      <c r="B24">
        <v>526.04229999999995</v>
      </c>
      <c r="C24">
        <v>1.4896849999999999</v>
      </c>
      <c r="D24">
        <v>1</v>
      </c>
      <c r="E24">
        <v>3.4815160000000001</v>
      </c>
      <c r="F24">
        <v>9.9172030000000007</v>
      </c>
      <c r="G24">
        <v>0.56058600000000003</v>
      </c>
      <c r="H24">
        <v>9.6453980000000001</v>
      </c>
      <c r="I24">
        <v>20.36138</v>
      </c>
      <c r="J24">
        <v>12.00769</v>
      </c>
      <c r="K24">
        <v>1</v>
      </c>
      <c r="L24" t="s">
        <v>74</v>
      </c>
    </row>
    <row r="25" spans="1:12" x14ac:dyDescent="0.3">
      <c r="A25" t="s">
        <v>130</v>
      </c>
      <c r="B25">
        <v>533.14620000000002</v>
      </c>
      <c r="C25">
        <v>1.0600590000000001</v>
      </c>
      <c r="D25">
        <v>1</v>
      </c>
      <c r="E25">
        <v>1.9426190000000001</v>
      </c>
      <c r="F25">
        <v>7.5508119999999996</v>
      </c>
      <c r="G25">
        <v>0.2337438</v>
      </c>
      <c r="H25">
        <v>0.4732499</v>
      </c>
      <c r="I25">
        <v>11.32</v>
      </c>
      <c r="J25">
        <v>4.2115179999999999</v>
      </c>
      <c r="K25">
        <v>0</v>
      </c>
      <c r="L25" t="s">
        <v>16</v>
      </c>
    </row>
    <row r="26" spans="1:12" x14ac:dyDescent="0.3">
      <c r="A26" t="s">
        <v>130</v>
      </c>
      <c r="B26">
        <v>536.78830000000005</v>
      </c>
      <c r="C26">
        <v>3.2941889999999998</v>
      </c>
      <c r="D26">
        <v>0.98928709999999997</v>
      </c>
      <c r="E26">
        <v>3.2669130000000002</v>
      </c>
      <c r="F26">
        <v>9.8399079999999994</v>
      </c>
      <c r="G26">
        <v>0.71058449999999995</v>
      </c>
      <c r="H26">
        <v>15.620200000000001</v>
      </c>
      <c r="I26">
        <v>41.832819999999998</v>
      </c>
      <c r="J26">
        <v>23.146419999999999</v>
      </c>
      <c r="K26">
        <v>1</v>
      </c>
      <c r="L26" t="s">
        <v>22</v>
      </c>
    </row>
    <row r="27" spans="1:12" x14ac:dyDescent="0.3">
      <c r="A27" t="s">
        <v>141</v>
      </c>
      <c r="B27">
        <v>546.16300000000001</v>
      </c>
      <c r="C27">
        <v>1.5825199999999999</v>
      </c>
      <c r="D27">
        <v>1</v>
      </c>
      <c r="E27">
        <v>2.2015030000000002</v>
      </c>
      <c r="F27">
        <v>8.5038719999999994</v>
      </c>
      <c r="G27">
        <v>0.27332790000000001</v>
      </c>
      <c r="H27">
        <v>2.2700089999999999</v>
      </c>
      <c r="I27">
        <v>17.603999999999999</v>
      </c>
      <c r="J27">
        <v>7.4835739999999999</v>
      </c>
      <c r="K27">
        <v>0</v>
      </c>
      <c r="L27" t="s">
        <v>16</v>
      </c>
    </row>
    <row r="28" spans="1:12" x14ac:dyDescent="0.3">
      <c r="A28" t="s">
        <v>141</v>
      </c>
      <c r="B28">
        <v>550.03530000000001</v>
      </c>
      <c r="C28">
        <v>1.2355959999999999</v>
      </c>
      <c r="D28">
        <v>1</v>
      </c>
      <c r="E28">
        <v>2.6893590000000001</v>
      </c>
      <c r="F28">
        <v>7.8087949999999999</v>
      </c>
      <c r="G28">
        <v>0.39596930000000002</v>
      </c>
      <c r="H28">
        <v>2.2137349999999998</v>
      </c>
      <c r="I28">
        <v>15.15366</v>
      </c>
      <c r="J28">
        <v>8.2774699999999992</v>
      </c>
      <c r="K28">
        <v>0</v>
      </c>
      <c r="L28" t="s">
        <v>22</v>
      </c>
    </row>
    <row r="29" spans="1:12" x14ac:dyDescent="0.3">
      <c r="A29" t="s">
        <v>141</v>
      </c>
      <c r="B29">
        <v>554.0752</v>
      </c>
      <c r="C29">
        <v>1.2213750000000001</v>
      </c>
      <c r="D29">
        <v>1</v>
      </c>
      <c r="E29">
        <v>3.2438099999999999</v>
      </c>
      <c r="F29">
        <v>12.16582</v>
      </c>
      <c r="G29">
        <v>0.2472385</v>
      </c>
      <c r="H29">
        <v>1.814443</v>
      </c>
      <c r="I29">
        <v>13.331659999999999</v>
      </c>
      <c r="J29">
        <v>4.7713260000000002</v>
      </c>
      <c r="K29">
        <v>0</v>
      </c>
      <c r="L29" t="s">
        <v>29</v>
      </c>
    </row>
    <row r="30" spans="1:12" x14ac:dyDescent="0.3">
      <c r="A30" t="s">
        <v>141</v>
      </c>
      <c r="B30">
        <v>558.25369999999998</v>
      </c>
      <c r="C30">
        <v>1.6600950000000001</v>
      </c>
      <c r="D30">
        <v>1</v>
      </c>
      <c r="E30">
        <v>2.6603370000000002</v>
      </c>
      <c r="F30">
        <v>7.9947679999999997</v>
      </c>
      <c r="G30">
        <v>0.35964780000000002</v>
      </c>
      <c r="H30">
        <v>2.1273559999999998</v>
      </c>
      <c r="I30">
        <v>18.30179</v>
      </c>
      <c r="J30">
        <v>7.4278680000000001</v>
      </c>
      <c r="K30">
        <v>0</v>
      </c>
      <c r="L30" t="s">
        <v>74</v>
      </c>
    </row>
    <row r="31" spans="1:12" x14ac:dyDescent="0.3">
      <c r="A31" t="s">
        <v>141</v>
      </c>
      <c r="B31">
        <v>562.62040000000002</v>
      </c>
      <c r="C31">
        <v>1.4107670000000001</v>
      </c>
      <c r="D31">
        <v>1</v>
      </c>
      <c r="E31">
        <v>2.4741469999999999</v>
      </c>
      <c r="F31">
        <v>8.1465589999999999</v>
      </c>
      <c r="G31">
        <v>0.30799910000000003</v>
      </c>
      <c r="H31">
        <v>1.7083090000000001</v>
      </c>
      <c r="I31">
        <v>15.48893</v>
      </c>
      <c r="J31">
        <v>6.2671669999999997</v>
      </c>
      <c r="K31">
        <v>0</v>
      </c>
      <c r="L31" t="s">
        <v>85</v>
      </c>
    </row>
    <row r="32" spans="1:12" x14ac:dyDescent="0.3">
      <c r="A32" t="s">
        <v>141</v>
      </c>
      <c r="B32">
        <v>566.45939999999996</v>
      </c>
      <c r="C32">
        <v>2.1959230000000001</v>
      </c>
      <c r="D32">
        <v>1</v>
      </c>
      <c r="E32">
        <v>2.8211219999999999</v>
      </c>
      <c r="F32">
        <v>9.2827260000000003</v>
      </c>
      <c r="G32">
        <v>0.53546740000000004</v>
      </c>
      <c r="H32">
        <v>1.971679</v>
      </c>
      <c r="I32">
        <v>24.9207</v>
      </c>
      <c r="J32">
        <v>12.38899</v>
      </c>
      <c r="K32">
        <v>0</v>
      </c>
      <c r="L32" t="s">
        <v>91</v>
      </c>
    </row>
    <row r="33" spans="1:12" x14ac:dyDescent="0.3">
      <c r="A33" t="s">
        <v>141</v>
      </c>
      <c r="B33">
        <v>572.93020000000001</v>
      </c>
      <c r="C33">
        <v>2.2137449999999999</v>
      </c>
      <c r="D33">
        <v>1</v>
      </c>
      <c r="E33">
        <v>2.2304849999999998</v>
      </c>
      <c r="F33">
        <v>7.8795229999999998</v>
      </c>
      <c r="G33">
        <v>0.4955232</v>
      </c>
      <c r="H33">
        <v>2.5824940000000001</v>
      </c>
      <c r="I33">
        <v>26.042770000000001</v>
      </c>
      <c r="J33">
        <v>14.216139999999999</v>
      </c>
      <c r="K33">
        <v>0</v>
      </c>
      <c r="L33" t="s">
        <v>175</v>
      </c>
    </row>
    <row r="34" spans="1:12" x14ac:dyDescent="0.3">
      <c r="A34" t="s">
        <v>141</v>
      </c>
      <c r="B34">
        <v>580.07820000000004</v>
      </c>
      <c r="C34">
        <v>2.2917480000000001</v>
      </c>
      <c r="D34">
        <v>0.93347100000000005</v>
      </c>
      <c r="E34">
        <v>4.7016239999999998</v>
      </c>
      <c r="F34">
        <v>9.3116810000000001</v>
      </c>
      <c r="G34">
        <v>0.66903849999999998</v>
      </c>
      <c r="H34">
        <v>11.075889999999999</v>
      </c>
      <c r="I34">
        <v>26.760590000000001</v>
      </c>
      <c r="J34">
        <v>16.406479999999998</v>
      </c>
      <c r="K34">
        <v>0</v>
      </c>
      <c r="L34" t="s">
        <v>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1"/>
  <sheetViews>
    <sheetView topLeftCell="A7" workbookViewId="0">
      <selection activeCell="S13" sqref="S1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8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</row>
    <row r="2" spans="1:16" x14ac:dyDescent="0.3">
      <c r="A2">
        <v>8</v>
      </c>
      <c r="B2" t="s">
        <v>203</v>
      </c>
      <c r="C2" t="s">
        <v>16</v>
      </c>
      <c r="D2">
        <v>0.16244069999999999</v>
      </c>
      <c r="E2">
        <v>-5.699158E-2</v>
      </c>
      <c r="F2">
        <v>0.1521149</v>
      </c>
      <c r="G2">
        <v>2.7011240000000001</v>
      </c>
      <c r="H2">
        <v>-6.3884259999999999</v>
      </c>
      <c r="I2">
        <v>0</v>
      </c>
      <c r="J2">
        <v>0</v>
      </c>
      <c r="K2">
        <v>7.1630429999999995E-2</v>
      </c>
      <c r="L2">
        <v>0.84036250000000001</v>
      </c>
      <c r="M2">
        <v>2.3766609999999999</v>
      </c>
      <c r="N2">
        <v>0</v>
      </c>
      <c r="O2">
        <v>0</v>
      </c>
      <c r="P2" t="s">
        <v>204</v>
      </c>
    </row>
    <row r="3" spans="1:16" x14ac:dyDescent="0.3">
      <c r="A3">
        <v>8</v>
      </c>
      <c r="B3" t="s">
        <v>205</v>
      </c>
      <c r="C3" t="s">
        <v>22</v>
      </c>
      <c r="D3">
        <v>1.4975369999999999</v>
      </c>
      <c r="E3">
        <v>-1.3887480000000001</v>
      </c>
      <c r="F3">
        <v>-0.56035230000000003</v>
      </c>
      <c r="G3">
        <v>2.1543939999999999</v>
      </c>
      <c r="H3">
        <v>-14.914960000000001</v>
      </c>
      <c r="I3">
        <v>0</v>
      </c>
      <c r="J3">
        <v>0</v>
      </c>
      <c r="K3">
        <v>0</v>
      </c>
      <c r="L3">
        <v>1.438293</v>
      </c>
      <c r="M3">
        <v>3.002033</v>
      </c>
      <c r="N3">
        <v>0</v>
      </c>
      <c r="O3">
        <v>0</v>
      </c>
      <c r="P3" t="s">
        <v>204</v>
      </c>
    </row>
    <row r="4" spans="1:16" x14ac:dyDescent="0.3">
      <c r="A4">
        <v>8</v>
      </c>
      <c r="B4" t="s">
        <v>206</v>
      </c>
      <c r="C4" t="s">
        <v>29</v>
      </c>
      <c r="D4">
        <v>4.4014740000000003</v>
      </c>
      <c r="E4">
        <v>1.1422650000000001</v>
      </c>
      <c r="F4">
        <v>-4.2506709999999996</v>
      </c>
      <c r="G4">
        <v>0</v>
      </c>
      <c r="H4">
        <v>-14.914960000000001</v>
      </c>
      <c r="I4">
        <v>0</v>
      </c>
      <c r="J4">
        <v>4</v>
      </c>
      <c r="K4">
        <v>7.9415240000000002</v>
      </c>
      <c r="L4">
        <v>0</v>
      </c>
      <c r="M4">
        <v>0</v>
      </c>
      <c r="N4">
        <v>1</v>
      </c>
      <c r="O4">
        <v>1</v>
      </c>
      <c r="P4" t="s">
        <v>207</v>
      </c>
    </row>
    <row r="5" spans="1:16" x14ac:dyDescent="0.3">
      <c r="A5">
        <v>9</v>
      </c>
      <c r="B5" t="s">
        <v>208</v>
      </c>
      <c r="C5" t="s">
        <v>16</v>
      </c>
      <c r="D5">
        <v>1.1052519999999999</v>
      </c>
      <c r="E5">
        <v>0.72267150000000002</v>
      </c>
      <c r="F5">
        <v>-0.8362579</v>
      </c>
      <c r="G5">
        <v>2.0281180000000001</v>
      </c>
      <c r="H5">
        <v>-7.3324369999999996</v>
      </c>
      <c r="I5">
        <v>0</v>
      </c>
      <c r="J5">
        <v>0</v>
      </c>
      <c r="K5">
        <v>0</v>
      </c>
      <c r="L5">
        <v>0</v>
      </c>
      <c r="M5">
        <v>4.2267840000000003</v>
      </c>
      <c r="N5">
        <v>1</v>
      </c>
      <c r="O5">
        <v>1</v>
      </c>
      <c r="P5" t="s">
        <v>209</v>
      </c>
    </row>
    <row r="6" spans="1:16" x14ac:dyDescent="0.3">
      <c r="A6">
        <v>10</v>
      </c>
      <c r="B6" t="s">
        <v>210</v>
      </c>
      <c r="C6" t="s">
        <v>16</v>
      </c>
      <c r="D6">
        <v>2.6334610000000001</v>
      </c>
      <c r="E6">
        <v>-0.8295593</v>
      </c>
      <c r="F6">
        <v>2.49939</v>
      </c>
      <c r="G6">
        <v>0.27658270000000001</v>
      </c>
      <c r="H6">
        <v>-3.5942120000000002</v>
      </c>
      <c r="I6">
        <v>0</v>
      </c>
      <c r="J6">
        <v>0</v>
      </c>
      <c r="K6">
        <v>0.46599069999999998</v>
      </c>
      <c r="L6">
        <v>0.86801150000000005</v>
      </c>
      <c r="M6">
        <v>2.924315</v>
      </c>
      <c r="N6">
        <v>0</v>
      </c>
      <c r="O6">
        <v>0</v>
      </c>
      <c r="P6" t="s">
        <v>211</v>
      </c>
    </row>
    <row r="7" spans="1:16" x14ac:dyDescent="0.3">
      <c r="A7">
        <v>10</v>
      </c>
      <c r="B7" t="s">
        <v>212</v>
      </c>
      <c r="C7" t="s">
        <v>22</v>
      </c>
      <c r="D7">
        <v>3.1479499999999998</v>
      </c>
      <c r="E7">
        <v>3.0753629999999998</v>
      </c>
      <c r="F7">
        <v>-0.67211149999999997</v>
      </c>
      <c r="G7">
        <v>0.18372959999999999</v>
      </c>
      <c r="H7">
        <v>-9.0966939999999994</v>
      </c>
      <c r="I7">
        <v>0</v>
      </c>
      <c r="J7">
        <v>0</v>
      </c>
      <c r="K7">
        <v>0.62209400000000004</v>
      </c>
      <c r="L7">
        <v>1.283447</v>
      </c>
      <c r="M7">
        <v>3.274054</v>
      </c>
      <c r="N7">
        <v>0</v>
      </c>
      <c r="O7">
        <v>0</v>
      </c>
      <c r="P7" t="s">
        <v>211</v>
      </c>
    </row>
    <row r="8" spans="1:16" x14ac:dyDescent="0.3">
      <c r="A8">
        <v>10</v>
      </c>
      <c r="B8" t="s">
        <v>213</v>
      </c>
      <c r="C8" t="s">
        <v>29</v>
      </c>
      <c r="D8">
        <v>3.9576690000000001</v>
      </c>
      <c r="E8">
        <v>-3.6950910000000001</v>
      </c>
      <c r="F8">
        <v>-1.4175489999999999</v>
      </c>
      <c r="G8">
        <v>0</v>
      </c>
      <c r="H8">
        <v>-9.0966939999999994</v>
      </c>
      <c r="I8">
        <v>0</v>
      </c>
      <c r="J8">
        <v>0</v>
      </c>
      <c r="K8">
        <v>1.8325020000000001</v>
      </c>
      <c r="L8">
        <v>0</v>
      </c>
      <c r="M8">
        <v>0</v>
      </c>
      <c r="N8">
        <v>1</v>
      </c>
      <c r="O8">
        <v>1</v>
      </c>
      <c r="P8" t="s">
        <v>214</v>
      </c>
    </row>
    <row r="9" spans="1:16" x14ac:dyDescent="0.3">
      <c r="A9">
        <v>11</v>
      </c>
      <c r="B9" t="s">
        <v>215</v>
      </c>
      <c r="C9" t="s">
        <v>16</v>
      </c>
      <c r="D9">
        <v>1.620349</v>
      </c>
      <c r="E9">
        <v>-0.5240631</v>
      </c>
      <c r="F9">
        <v>1.5332600000000001</v>
      </c>
      <c r="G9">
        <v>1.2855110000000001</v>
      </c>
      <c r="H9">
        <v>-6.4492859999999999</v>
      </c>
      <c r="I9">
        <v>0</v>
      </c>
      <c r="J9">
        <v>0</v>
      </c>
      <c r="K9">
        <v>0.3683457</v>
      </c>
      <c r="L9">
        <v>0.52612300000000001</v>
      </c>
      <c r="M9">
        <v>0.25691429999999998</v>
      </c>
      <c r="N9">
        <v>0</v>
      </c>
      <c r="O9">
        <v>0</v>
      </c>
      <c r="P9" t="s">
        <v>204</v>
      </c>
    </row>
    <row r="10" spans="1:16" x14ac:dyDescent="0.3">
      <c r="A10">
        <v>11</v>
      </c>
      <c r="B10" t="s">
        <v>216</v>
      </c>
      <c r="C10" t="s">
        <v>22</v>
      </c>
      <c r="D10">
        <v>2.6638890000000002</v>
      </c>
      <c r="E10">
        <v>1.361694</v>
      </c>
      <c r="F10">
        <v>-2.2895620000000001</v>
      </c>
      <c r="G10">
        <v>0.73701640000000002</v>
      </c>
      <c r="H10">
        <v>-9.8596020000000006</v>
      </c>
      <c r="I10">
        <v>0</v>
      </c>
      <c r="J10">
        <v>0</v>
      </c>
      <c r="K10">
        <v>0</v>
      </c>
      <c r="L10">
        <v>0.91922000000000004</v>
      </c>
      <c r="M10">
        <v>2.8518020000000002</v>
      </c>
      <c r="N10">
        <v>0</v>
      </c>
      <c r="O10">
        <v>0</v>
      </c>
      <c r="P10" t="s">
        <v>204</v>
      </c>
    </row>
    <row r="11" spans="1:16" x14ac:dyDescent="0.3">
      <c r="A11">
        <v>11</v>
      </c>
      <c r="B11" t="s">
        <v>217</v>
      </c>
      <c r="C11" t="s">
        <v>29</v>
      </c>
      <c r="D11">
        <v>2.141429</v>
      </c>
      <c r="E11">
        <v>2.1304630000000002</v>
      </c>
      <c r="F11">
        <v>0.2164383</v>
      </c>
      <c r="G11">
        <v>1.0253300000000001</v>
      </c>
      <c r="H11">
        <v>-8.2294970000000003</v>
      </c>
      <c r="I11">
        <v>0</v>
      </c>
      <c r="J11">
        <v>1</v>
      </c>
      <c r="K11">
        <v>5.0023249999999999</v>
      </c>
      <c r="L11">
        <v>0</v>
      </c>
      <c r="M11">
        <v>0.95394610000000002</v>
      </c>
      <c r="N11">
        <v>1</v>
      </c>
      <c r="O11">
        <v>1</v>
      </c>
      <c r="P11" t="s">
        <v>209</v>
      </c>
    </row>
    <row r="12" spans="1:16" x14ac:dyDescent="0.3">
      <c r="A12">
        <v>11</v>
      </c>
      <c r="B12" t="s">
        <v>218</v>
      </c>
      <c r="C12" t="s">
        <v>74</v>
      </c>
      <c r="D12">
        <v>1.9128799999999999</v>
      </c>
      <c r="E12">
        <v>1.8769610000000001</v>
      </c>
      <c r="F12">
        <v>0.36895749999999999</v>
      </c>
      <c r="G12">
        <v>0.98890639999999996</v>
      </c>
      <c r="H12">
        <v>-10.75238</v>
      </c>
      <c r="I12">
        <v>0</v>
      </c>
      <c r="J12">
        <v>0</v>
      </c>
      <c r="K12">
        <v>5.4572830000000003E-2</v>
      </c>
      <c r="L12">
        <v>1.001709</v>
      </c>
      <c r="M12">
        <v>1.763161</v>
      </c>
      <c r="N12">
        <v>0</v>
      </c>
      <c r="O12">
        <v>0</v>
      </c>
      <c r="P12" t="s">
        <v>204</v>
      </c>
    </row>
    <row r="13" spans="1:16" x14ac:dyDescent="0.3">
      <c r="A13">
        <v>11</v>
      </c>
      <c r="B13" t="s">
        <v>219</v>
      </c>
      <c r="C13" t="s">
        <v>85</v>
      </c>
      <c r="D13">
        <v>1.8358399999999999</v>
      </c>
      <c r="E13">
        <v>1.5471189999999999</v>
      </c>
      <c r="F13">
        <v>-0.98829650000000002</v>
      </c>
      <c r="G13">
        <v>0.90890170000000003</v>
      </c>
      <c r="H13">
        <v>-12.42986</v>
      </c>
      <c r="I13">
        <v>0</v>
      </c>
      <c r="J13">
        <v>0</v>
      </c>
      <c r="K13">
        <v>0.79451899999999998</v>
      </c>
      <c r="L13">
        <v>0.51672359999999995</v>
      </c>
      <c r="M13">
        <v>0.184254</v>
      </c>
      <c r="N13">
        <v>0</v>
      </c>
      <c r="O13">
        <v>0</v>
      </c>
      <c r="P13" t="s">
        <v>204</v>
      </c>
    </row>
    <row r="14" spans="1:16" x14ac:dyDescent="0.3">
      <c r="A14">
        <v>11</v>
      </c>
      <c r="B14" t="s">
        <v>220</v>
      </c>
      <c r="C14" t="s">
        <v>91</v>
      </c>
      <c r="D14">
        <v>6.5371920000000001</v>
      </c>
      <c r="E14">
        <v>0.95530700000000002</v>
      </c>
      <c r="F14">
        <v>6.4670139999999998</v>
      </c>
      <c r="G14">
        <v>0</v>
      </c>
      <c r="H14">
        <v>-12.42986</v>
      </c>
      <c r="I14">
        <v>0</v>
      </c>
      <c r="J14">
        <v>0</v>
      </c>
      <c r="K14">
        <v>3.830003</v>
      </c>
      <c r="L14">
        <v>0</v>
      </c>
      <c r="M14">
        <v>0</v>
      </c>
      <c r="N14">
        <v>1</v>
      </c>
      <c r="O14">
        <v>1</v>
      </c>
      <c r="P14" t="s">
        <v>221</v>
      </c>
    </row>
    <row r="15" spans="1:16" x14ac:dyDescent="0.3">
      <c r="A15">
        <v>12</v>
      </c>
      <c r="B15" t="s">
        <v>222</v>
      </c>
      <c r="C15" t="s">
        <v>16</v>
      </c>
      <c r="D15">
        <v>2.1857820000000001</v>
      </c>
      <c r="E15">
        <v>-1.921829</v>
      </c>
      <c r="F15">
        <v>1.041256</v>
      </c>
      <c r="G15">
        <v>0.64092349999999998</v>
      </c>
      <c r="H15">
        <v>-7.8335059999999999</v>
      </c>
      <c r="I15">
        <v>0</v>
      </c>
      <c r="J15">
        <v>0</v>
      </c>
      <c r="K15">
        <v>0.95448739999999999</v>
      </c>
      <c r="L15">
        <v>0.67031859999999999</v>
      </c>
      <c r="M15">
        <v>1.4367220000000001</v>
      </c>
      <c r="N15">
        <v>0</v>
      </c>
      <c r="O15">
        <v>0</v>
      </c>
      <c r="P15" t="s">
        <v>204</v>
      </c>
    </row>
    <row r="16" spans="1:16" x14ac:dyDescent="0.3">
      <c r="A16">
        <v>12</v>
      </c>
      <c r="B16" t="s">
        <v>223</v>
      </c>
      <c r="C16" t="s">
        <v>22</v>
      </c>
      <c r="D16">
        <v>0.91928829999999995</v>
      </c>
      <c r="E16">
        <v>0.4470673</v>
      </c>
      <c r="F16">
        <v>-0.803257</v>
      </c>
      <c r="G16">
        <v>2.4791370000000001</v>
      </c>
      <c r="H16">
        <v>-8.754683</v>
      </c>
      <c r="I16">
        <v>0</v>
      </c>
      <c r="J16">
        <v>0</v>
      </c>
      <c r="K16">
        <v>4.8749069999999999E-2</v>
      </c>
      <c r="L16">
        <v>0.54281619999999997</v>
      </c>
      <c r="M16">
        <v>0.26012479999999999</v>
      </c>
      <c r="N16">
        <v>0</v>
      </c>
      <c r="O16">
        <v>0</v>
      </c>
      <c r="P16" t="s">
        <v>204</v>
      </c>
    </row>
    <row r="17" spans="1:16" x14ac:dyDescent="0.3">
      <c r="A17">
        <v>12</v>
      </c>
      <c r="B17" t="s">
        <v>224</v>
      </c>
      <c r="C17" t="s">
        <v>29</v>
      </c>
      <c r="D17">
        <v>2.8903310000000002</v>
      </c>
      <c r="E17">
        <v>1.658989</v>
      </c>
      <c r="F17">
        <v>2.366806</v>
      </c>
      <c r="G17">
        <v>0.18683079999999999</v>
      </c>
      <c r="H17">
        <v>-13.444750000000001</v>
      </c>
      <c r="I17">
        <v>0</v>
      </c>
      <c r="J17">
        <v>0</v>
      </c>
      <c r="K17">
        <v>0.52143839999999997</v>
      </c>
      <c r="L17">
        <v>0</v>
      </c>
      <c r="M17">
        <v>7.059361</v>
      </c>
      <c r="N17">
        <v>1</v>
      </c>
      <c r="O17">
        <v>1</v>
      </c>
      <c r="P17" t="s">
        <v>209</v>
      </c>
    </row>
    <row r="18" spans="1:16" x14ac:dyDescent="0.3">
      <c r="A18">
        <v>13</v>
      </c>
      <c r="B18" t="s">
        <v>225</v>
      </c>
      <c r="C18" t="s">
        <v>16</v>
      </c>
      <c r="D18">
        <v>2.1075940000000002</v>
      </c>
      <c r="E18">
        <v>-2.0923310000000002</v>
      </c>
      <c r="F18">
        <v>0.2531891</v>
      </c>
      <c r="G18">
        <v>0.71009829999999996</v>
      </c>
      <c r="H18">
        <v>-8.795579</v>
      </c>
      <c r="I18">
        <v>0</v>
      </c>
      <c r="J18">
        <v>0</v>
      </c>
      <c r="K18">
        <v>5.5486639999999997E-2</v>
      </c>
      <c r="L18">
        <v>1.0177</v>
      </c>
      <c r="M18">
        <v>2.3026219999999999</v>
      </c>
      <c r="N18">
        <v>0</v>
      </c>
      <c r="O18">
        <v>0</v>
      </c>
      <c r="P18" t="s">
        <v>204</v>
      </c>
    </row>
    <row r="19" spans="1:16" x14ac:dyDescent="0.3">
      <c r="A19">
        <v>13</v>
      </c>
      <c r="B19" t="s">
        <v>226</v>
      </c>
      <c r="C19" t="s">
        <v>22</v>
      </c>
      <c r="D19">
        <v>3.5872769999999998</v>
      </c>
      <c r="E19">
        <v>0.1168671</v>
      </c>
      <c r="F19">
        <v>-3.5853730000000001</v>
      </c>
      <c r="G19">
        <v>0</v>
      </c>
      <c r="H19">
        <v>-9.6705690000000004</v>
      </c>
      <c r="I19">
        <v>0</v>
      </c>
      <c r="J19">
        <v>0</v>
      </c>
      <c r="K19">
        <v>0</v>
      </c>
      <c r="L19">
        <v>1.0657350000000001</v>
      </c>
      <c r="M19">
        <v>4.6643220000000003</v>
      </c>
      <c r="N19">
        <v>1</v>
      </c>
      <c r="O19">
        <v>0</v>
      </c>
      <c r="P19" t="s">
        <v>227</v>
      </c>
    </row>
    <row r="20" spans="1:16" x14ac:dyDescent="0.3">
      <c r="A20">
        <v>13</v>
      </c>
      <c r="B20" t="s">
        <v>228</v>
      </c>
      <c r="C20" t="s">
        <v>29</v>
      </c>
      <c r="D20">
        <v>1.0532729999999999</v>
      </c>
      <c r="E20">
        <v>-0.70004270000000002</v>
      </c>
      <c r="F20">
        <v>0.786972</v>
      </c>
      <c r="G20">
        <v>1.813337</v>
      </c>
      <c r="H20">
        <v>-12.564249999999999</v>
      </c>
      <c r="I20">
        <v>0</v>
      </c>
      <c r="J20">
        <v>0</v>
      </c>
      <c r="K20">
        <v>3.5448350000000003E-2</v>
      </c>
      <c r="L20">
        <v>0.53289790000000004</v>
      </c>
      <c r="M20">
        <v>0.28476449999999998</v>
      </c>
      <c r="N20">
        <v>0</v>
      </c>
      <c r="O20">
        <v>0</v>
      </c>
      <c r="P20" t="s">
        <v>204</v>
      </c>
    </row>
    <row r="21" spans="1:16" x14ac:dyDescent="0.3">
      <c r="A21">
        <v>13</v>
      </c>
      <c r="B21" t="s">
        <v>229</v>
      </c>
      <c r="C21" t="s">
        <v>74</v>
      </c>
      <c r="D21">
        <v>3.5160779999999998</v>
      </c>
      <c r="E21">
        <v>3.4950100000000002</v>
      </c>
      <c r="F21">
        <v>-0.38433070000000003</v>
      </c>
      <c r="G21">
        <v>0</v>
      </c>
      <c r="H21">
        <v>-12.564249999999999</v>
      </c>
      <c r="I21">
        <v>0</v>
      </c>
      <c r="J21">
        <v>1</v>
      </c>
      <c r="K21">
        <v>3.7304879999999998</v>
      </c>
      <c r="L21">
        <v>0</v>
      </c>
      <c r="M21">
        <v>0</v>
      </c>
      <c r="N21">
        <v>1</v>
      </c>
      <c r="O21">
        <v>1</v>
      </c>
      <c r="P21" t="s">
        <v>230</v>
      </c>
    </row>
    <row r="22" spans="1:16" x14ac:dyDescent="0.3">
      <c r="A22">
        <v>14</v>
      </c>
      <c r="B22" t="s">
        <v>231</v>
      </c>
      <c r="C22" t="s">
        <v>16</v>
      </c>
      <c r="D22">
        <v>0.47312209999999999</v>
      </c>
      <c r="E22">
        <v>-4.7668460000000003E-2</v>
      </c>
      <c r="F22">
        <v>0.47071459999999998</v>
      </c>
      <c r="G22">
        <v>2.4499599999999999</v>
      </c>
      <c r="H22">
        <v>-6.0355059999999998</v>
      </c>
      <c r="I22">
        <v>0</v>
      </c>
      <c r="J22">
        <v>0</v>
      </c>
      <c r="K22">
        <v>4.3208870000000003E-2</v>
      </c>
      <c r="L22">
        <v>0.55236819999999998</v>
      </c>
      <c r="M22">
        <v>0.27594370000000001</v>
      </c>
      <c r="N22">
        <v>0</v>
      </c>
      <c r="O22">
        <v>0</v>
      </c>
      <c r="P22" t="s">
        <v>204</v>
      </c>
    </row>
    <row r="23" spans="1:16" x14ac:dyDescent="0.3">
      <c r="A23">
        <v>14</v>
      </c>
      <c r="B23" t="s">
        <v>232</v>
      </c>
      <c r="C23" t="s">
        <v>22</v>
      </c>
      <c r="D23">
        <v>11.70157</v>
      </c>
      <c r="E23">
        <v>-10.967409999999999</v>
      </c>
      <c r="F23">
        <v>-4.0795360000000001</v>
      </c>
      <c r="G23">
        <v>0</v>
      </c>
      <c r="H23">
        <v>-6.0355059999999998</v>
      </c>
      <c r="I23">
        <v>0</v>
      </c>
      <c r="J23">
        <v>0</v>
      </c>
      <c r="K23">
        <v>1.5371939999999999</v>
      </c>
      <c r="L23">
        <v>0</v>
      </c>
      <c r="M23">
        <v>0</v>
      </c>
      <c r="N23">
        <v>1</v>
      </c>
      <c r="O23">
        <v>1</v>
      </c>
      <c r="P23" t="s">
        <v>214</v>
      </c>
    </row>
    <row r="24" spans="1:16" x14ac:dyDescent="0.3">
      <c r="A24">
        <v>15</v>
      </c>
      <c r="B24" t="s">
        <v>233</v>
      </c>
      <c r="C24" t="s">
        <v>16</v>
      </c>
      <c r="D24">
        <v>2.2699820000000002</v>
      </c>
      <c r="E24">
        <v>-2.010834</v>
      </c>
      <c r="F24">
        <v>-1.0532649999999999</v>
      </c>
      <c r="G24">
        <v>0.58198570000000005</v>
      </c>
      <c r="H24">
        <v>-9.3728619999999996</v>
      </c>
      <c r="I24">
        <v>0</v>
      </c>
      <c r="J24">
        <v>0</v>
      </c>
      <c r="K24">
        <v>0</v>
      </c>
      <c r="L24">
        <v>0.53094479999999999</v>
      </c>
      <c r="M24">
        <v>0.27994150000000001</v>
      </c>
      <c r="N24">
        <v>0</v>
      </c>
      <c r="O24">
        <v>0</v>
      </c>
      <c r="P24" t="s">
        <v>204</v>
      </c>
    </row>
    <row r="25" spans="1:16" x14ac:dyDescent="0.3">
      <c r="A25">
        <v>15</v>
      </c>
      <c r="B25" t="s">
        <v>234</v>
      </c>
      <c r="C25" t="s">
        <v>22</v>
      </c>
      <c r="D25">
        <v>2.210534</v>
      </c>
      <c r="E25">
        <v>1.6377409999999999</v>
      </c>
      <c r="F25">
        <v>-1.4846760000000001</v>
      </c>
      <c r="G25">
        <v>1.154369</v>
      </c>
      <c r="H25">
        <v>-14.940860000000001</v>
      </c>
      <c r="I25">
        <v>0</v>
      </c>
      <c r="J25">
        <v>0</v>
      </c>
      <c r="K25">
        <v>0.52976199999999996</v>
      </c>
      <c r="L25">
        <v>1.4290160000000001</v>
      </c>
      <c r="M25">
        <v>3.0806049999999998</v>
      </c>
      <c r="N25">
        <v>0</v>
      </c>
      <c r="O25">
        <v>0</v>
      </c>
      <c r="P25" t="s">
        <v>204</v>
      </c>
    </row>
    <row r="26" spans="1:16" x14ac:dyDescent="0.3">
      <c r="A26">
        <v>15</v>
      </c>
      <c r="B26" t="s">
        <v>235</v>
      </c>
      <c r="C26" t="s">
        <v>29</v>
      </c>
      <c r="D26">
        <v>1.8038620000000001</v>
      </c>
      <c r="E26">
        <v>1.798988</v>
      </c>
      <c r="F26">
        <v>-0.13251499999999999</v>
      </c>
      <c r="G26">
        <v>1.3671279999999999</v>
      </c>
      <c r="H26">
        <v>-12.23687</v>
      </c>
      <c r="I26">
        <v>0</v>
      </c>
      <c r="J26">
        <v>1</v>
      </c>
      <c r="K26">
        <v>2.1852459999999998</v>
      </c>
      <c r="L26">
        <v>1.0747679999999999</v>
      </c>
      <c r="M26">
        <v>1.418947</v>
      </c>
      <c r="N26">
        <v>0</v>
      </c>
      <c r="O26">
        <v>0</v>
      </c>
      <c r="P26" t="s">
        <v>204</v>
      </c>
    </row>
    <row r="27" spans="1:16" x14ac:dyDescent="0.3">
      <c r="A27">
        <v>15</v>
      </c>
      <c r="B27" t="s">
        <v>236</v>
      </c>
      <c r="C27" t="s">
        <v>74</v>
      </c>
      <c r="D27">
        <v>2.1206320000000001</v>
      </c>
      <c r="E27">
        <v>1.0741959999999999</v>
      </c>
      <c r="F27">
        <v>1.828438</v>
      </c>
      <c r="G27">
        <v>0.82700280000000004</v>
      </c>
      <c r="H27">
        <v>-12.06016</v>
      </c>
      <c r="I27">
        <v>0</v>
      </c>
      <c r="J27">
        <v>0</v>
      </c>
      <c r="K27">
        <v>0.18133850000000001</v>
      </c>
      <c r="L27">
        <v>0.52282709999999999</v>
      </c>
      <c r="M27">
        <v>0.19973650000000001</v>
      </c>
      <c r="N27">
        <v>0</v>
      </c>
      <c r="O27">
        <v>0</v>
      </c>
      <c r="P27" t="s">
        <v>204</v>
      </c>
    </row>
    <row r="28" spans="1:16" x14ac:dyDescent="0.3">
      <c r="A28">
        <v>15</v>
      </c>
      <c r="B28" t="s">
        <v>237</v>
      </c>
      <c r="C28" t="s">
        <v>85</v>
      </c>
      <c r="D28">
        <v>1.699929</v>
      </c>
      <c r="E28">
        <v>1.651276</v>
      </c>
      <c r="F28">
        <v>-0.40379330000000002</v>
      </c>
      <c r="G28">
        <v>1.1126</v>
      </c>
      <c r="H28">
        <v>-11.56316</v>
      </c>
      <c r="I28">
        <v>0</v>
      </c>
      <c r="J28">
        <v>0</v>
      </c>
      <c r="K28">
        <v>0</v>
      </c>
      <c r="L28">
        <v>0.52716059999999998</v>
      </c>
      <c r="M28">
        <v>0.2441641</v>
      </c>
      <c r="N28">
        <v>0</v>
      </c>
      <c r="O28">
        <v>0</v>
      </c>
      <c r="P28" t="s">
        <v>204</v>
      </c>
    </row>
    <row r="29" spans="1:16" x14ac:dyDescent="0.3">
      <c r="A29">
        <v>15</v>
      </c>
      <c r="B29" t="s">
        <v>238</v>
      </c>
      <c r="C29" t="s">
        <v>91</v>
      </c>
      <c r="D29">
        <v>1.964423</v>
      </c>
      <c r="E29">
        <v>-1.446655</v>
      </c>
      <c r="F29">
        <v>-1.328964</v>
      </c>
      <c r="G29">
        <v>0.80727409999999999</v>
      </c>
      <c r="H29">
        <v>-13.847390000000001</v>
      </c>
      <c r="I29">
        <v>0</v>
      </c>
      <c r="J29">
        <v>0</v>
      </c>
      <c r="K29">
        <v>0.59581550000000005</v>
      </c>
      <c r="L29">
        <v>1.080017</v>
      </c>
      <c r="M29">
        <v>2.4158379999999999</v>
      </c>
      <c r="N29">
        <v>0</v>
      </c>
      <c r="O29">
        <v>0</v>
      </c>
      <c r="P29" t="s">
        <v>204</v>
      </c>
    </row>
    <row r="30" spans="1:16" x14ac:dyDescent="0.3">
      <c r="A30">
        <v>15</v>
      </c>
      <c r="B30" t="s">
        <v>239</v>
      </c>
      <c r="C30" t="s">
        <v>175</v>
      </c>
      <c r="D30">
        <v>2.576959</v>
      </c>
      <c r="E30">
        <v>-2.1055999999999999</v>
      </c>
      <c r="F30">
        <v>-1.4856529999999999</v>
      </c>
      <c r="G30">
        <v>0.56228880000000003</v>
      </c>
      <c r="H30">
        <v>-18.059159999999999</v>
      </c>
      <c r="I30">
        <v>0</v>
      </c>
      <c r="J30">
        <v>0</v>
      </c>
      <c r="K30">
        <v>1.365801</v>
      </c>
      <c r="L30">
        <v>1.091675</v>
      </c>
      <c r="M30">
        <v>1.3053380000000001</v>
      </c>
      <c r="N30">
        <v>0</v>
      </c>
      <c r="O30">
        <v>0</v>
      </c>
      <c r="P30" t="s">
        <v>204</v>
      </c>
    </row>
    <row r="31" spans="1:16" x14ac:dyDescent="0.3">
      <c r="A31">
        <v>15</v>
      </c>
      <c r="B31" t="s">
        <v>240</v>
      </c>
      <c r="C31" t="s">
        <v>179</v>
      </c>
      <c r="D31">
        <v>8.8805479999999992</v>
      </c>
      <c r="E31">
        <v>-0.12032320000000001</v>
      </c>
      <c r="F31">
        <v>8.8797320000000006</v>
      </c>
      <c r="G31">
        <v>0</v>
      </c>
      <c r="H31">
        <v>-15.22833</v>
      </c>
      <c r="I31">
        <v>0</v>
      </c>
      <c r="J31">
        <v>0</v>
      </c>
      <c r="K31">
        <v>3.1718630000000001</v>
      </c>
      <c r="L31">
        <v>0.68634030000000001</v>
      </c>
      <c r="M31">
        <v>1.5263409999999999</v>
      </c>
      <c r="N31">
        <v>1</v>
      </c>
      <c r="O31">
        <v>0</v>
      </c>
      <c r="P31" t="s">
        <v>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workbookViewId="0">
      <selection activeCell="L5" sqref="L5"/>
    </sheetView>
  </sheetViews>
  <sheetFormatPr defaultRowHeight="14.4" x14ac:dyDescent="0.3"/>
  <sheetData>
    <row r="1" spans="1:10" x14ac:dyDescent="0.3">
      <c r="A1" s="1" t="s">
        <v>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  <c r="J1" s="1" t="s">
        <v>249</v>
      </c>
    </row>
    <row r="2" spans="1:10" x14ac:dyDescent="0.3">
      <c r="A2">
        <v>6</v>
      </c>
      <c r="B2">
        <v>1</v>
      </c>
      <c r="C2">
        <v>13.163</v>
      </c>
      <c r="D2">
        <v>30.628</v>
      </c>
      <c r="E2">
        <v>0.41699999999999998</v>
      </c>
      <c r="F2">
        <v>1</v>
      </c>
      <c r="G2">
        <v>9.6056000000000008</v>
      </c>
      <c r="H2">
        <v>4.8532000000000002</v>
      </c>
      <c r="I2">
        <v>0.15190000000000001</v>
      </c>
      <c r="J2">
        <v>7.6999999999999999E-2</v>
      </c>
    </row>
    <row r="3" spans="1:10" x14ac:dyDescent="0.3">
      <c r="A3">
        <v>7</v>
      </c>
      <c r="B3">
        <v>1</v>
      </c>
      <c r="C3">
        <v>13.723000000000001</v>
      </c>
      <c r="D3">
        <v>24.46</v>
      </c>
      <c r="E3">
        <v>0.505</v>
      </c>
      <c r="F3">
        <v>1</v>
      </c>
      <c r="G3">
        <v>12.127700000000001</v>
      </c>
      <c r="H3">
        <v>4.6603000000000003</v>
      </c>
      <c r="I3">
        <v>2.1133000000000002</v>
      </c>
      <c r="J3">
        <v>0.154</v>
      </c>
    </row>
    <row r="4" spans="1:10" x14ac:dyDescent="0.3">
      <c r="A4">
        <v>8</v>
      </c>
      <c r="B4">
        <v>1</v>
      </c>
      <c r="C4">
        <v>7.7060000000000004</v>
      </c>
      <c r="D4">
        <v>19.963000000000001</v>
      </c>
      <c r="E4">
        <v>0.40699999999999997</v>
      </c>
      <c r="F4">
        <v>1</v>
      </c>
      <c r="G4">
        <v>5.9881000000000002</v>
      </c>
      <c r="H4">
        <v>2.5594000000000001</v>
      </c>
      <c r="I4">
        <v>1.8167</v>
      </c>
      <c r="J4">
        <v>7.6999999999999999E-2</v>
      </c>
    </row>
    <row r="5" spans="1:10" x14ac:dyDescent="0.3">
      <c r="A5">
        <v>9</v>
      </c>
      <c r="B5">
        <v>1</v>
      </c>
      <c r="C5">
        <v>16.111999999999998</v>
      </c>
      <c r="D5">
        <v>26.484999999999999</v>
      </c>
      <c r="E5">
        <v>0.60099999999999998</v>
      </c>
      <c r="F5">
        <v>1</v>
      </c>
      <c r="G5">
        <v>12.979100000000001</v>
      </c>
      <c r="H5">
        <v>5.3715999999999999</v>
      </c>
      <c r="I5">
        <v>2.3584999999999998</v>
      </c>
      <c r="J5">
        <v>0.154</v>
      </c>
    </row>
    <row r="6" spans="1:10" x14ac:dyDescent="0.3">
      <c r="A6">
        <v>10</v>
      </c>
      <c r="B6">
        <v>1</v>
      </c>
      <c r="C6">
        <v>9.7210000000000001</v>
      </c>
      <c r="D6">
        <v>21.55</v>
      </c>
      <c r="E6">
        <v>0.47099999999999997</v>
      </c>
      <c r="F6">
        <v>1</v>
      </c>
      <c r="G6">
        <v>7.9156000000000004</v>
      </c>
      <c r="H6">
        <v>4.4217000000000004</v>
      </c>
      <c r="I6">
        <v>1.0286999999999999</v>
      </c>
      <c r="J6">
        <v>0.154</v>
      </c>
    </row>
    <row r="7" spans="1:10" x14ac:dyDescent="0.3">
      <c r="A7">
        <v>11</v>
      </c>
      <c r="B7">
        <v>1</v>
      </c>
      <c r="C7">
        <v>6.5609999999999999</v>
      </c>
      <c r="D7">
        <v>16.259</v>
      </c>
      <c r="E7">
        <v>0.38900000000000001</v>
      </c>
      <c r="F7">
        <v>1</v>
      </c>
      <c r="G7">
        <v>3.6808999999999998</v>
      </c>
      <c r="H7">
        <v>4.0873999999999997</v>
      </c>
      <c r="I7">
        <v>3.2008999999999999</v>
      </c>
      <c r="J7">
        <v>7.6999999999999999E-2</v>
      </c>
    </row>
    <row r="8" spans="1:10" x14ac:dyDescent="0.3">
      <c r="A8">
        <v>12</v>
      </c>
      <c r="B8">
        <v>1</v>
      </c>
      <c r="C8">
        <v>9.4860000000000007</v>
      </c>
      <c r="D8">
        <v>20.125</v>
      </c>
      <c r="E8">
        <v>0.438</v>
      </c>
      <c r="F8">
        <v>1</v>
      </c>
      <c r="G8">
        <v>9.9953000000000003</v>
      </c>
      <c r="H8">
        <v>5.1532999999999998</v>
      </c>
      <c r="I8">
        <v>4.0060000000000002</v>
      </c>
      <c r="J8">
        <v>0.154</v>
      </c>
    </row>
    <row r="9" spans="1:10" x14ac:dyDescent="0.3">
      <c r="A9">
        <v>13</v>
      </c>
      <c r="B9">
        <v>1</v>
      </c>
      <c r="C9">
        <v>9.8510000000000009</v>
      </c>
      <c r="D9">
        <v>21.965</v>
      </c>
      <c r="E9">
        <v>0.41599999999999998</v>
      </c>
      <c r="F9">
        <v>1</v>
      </c>
      <c r="G9">
        <v>7.4627999999999997</v>
      </c>
      <c r="H9">
        <v>4.9109999999999996</v>
      </c>
      <c r="I9">
        <v>1.2181999999999999</v>
      </c>
      <c r="J9">
        <v>7.6999999999999999E-2</v>
      </c>
    </row>
    <row r="10" spans="1:10" x14ac:dyDescent="0.3">
      <c r="A10">
        <v>14</v>
      </c>
      <c r="B10">
        <v>1</v>
      </c>
      <c r="C10">
        <v>8.1159999999999997</v>
      </c>
      <c r="D10">
        <v>19.565000000000001</v>
      </c>
      <c r="E10">
        <v>0.44900000000000001</v>
      </c>
      <c r="F10">
        <v>1</v>
      </c>
      <c r="G10">
        <v>5.7605000000000004</v>
      </c>
      <c r="H10">
        <v>4.484</v>
      </c>
      <c r="I10">
        <v>2.2179000000000002</v>
      </c>
      <c r="J10">
        <v>7.6999999999999999E-2</v>
      </c>
    </row>
    <row r="11" spans="1:10" x14ac:dyDescent="0.3">
      <c r="A11">
        <v>15</v>
      </c>
      <c r="B11">
        <v>1</v>
      </c>
      <c r="C11">
        <v>14.475</v>
      </c>
      <c r="D11">
        <v>22.818999999999999</v>
      </c>
      <c r="E11">
        <v>0.54600000000000004</v>
      </c>
      <c r="F11">
        <v>1</v>
      </c>
      <c r="G11">
        <v>4.7019000000000002</v>
      </c>
      <c r="H11">
        <v>4.1086</v>
      </c>
      <c r="I11">
        <v>1.0363</v>
      </c>
      <c r="J11">
        <v>0.23100000000000001</v>
      </c>
    </row>
    <row r="12" spans="1:10" x14ac:dyDescent="0.3">
      <c r="A12">
        <v>16</v>
      </c>
      <c r="B12">
        <v>1</v>
      </c>
      <c r="C12">
        <v>8.9390000000000001</v>
      </c>
      <c r="D12">
        <v>21.384</v>
      </c>
      <c r="E12">
        <v>0.46500000000000002</v>
      </c>
      <c r="F12">
        <v>1</v>
      </c>
      <c r="G12">
        <v>8.4776000000000007</v>
      </c>
      <c r="H12">
        <v>3.1139000000000001</v>
      </c>
      <c r="I12">
        <v>5.3699000000000003</v>
      </c>
      <c r="J12">
        <v>0</v>
      </c>
    </row>
    <row r="13" spans="1:10" x14ac:dyDescent="0.3">
      <c r="A13">
        <v>17</v>
      </c>
      <c r="B13">
        <v>1</v>
      </c>
      <c r="C13">
        <v>24.681999999999999</v>
      </c>
      <c r="D13">
        <v>38.923999999999999</v>
      </c>
      <c r="E13">
        <v>0.86599999999999999</v>
      </c>
      <c r="F13">
        <v>1</v>
      </c>
      <c r="G13">
        <v>8.3628</v>
      </c>
      <c r="H13">
        <v>4.1123000000000003</v>
      </c>
      <c r="I13">
        <v>2.4308999999999998</v>
      </c>
      <c r="J13">
        <v>0.308</v>
      </c>
    </row>
    <row r="14" spans="1:10" x14ac:dyDescent="0.3">
      <c r="A14">
        <v>18</v>
      </c>
      <c r="B14">
        <v>1</v>
      </c>
      <c r="C14">
        <v>23.021000000000001</v>
      </c>
      <c r="D14">
        <v>35.779000000000003</v>
      </c>
      <c r="E14">
        <v>0.65400000000000003</v>
      </c>
      <c r="F14">
        <v>1</v>
      </c>
      <c r="G14">
        <v>8.1935000000000002</v>
      </c>
      <c r="H14">
        <v>3.6989000000000001</v>
      </c>
      <c r="I14">
        <v>2.9973000000000001</v>
      </c>
      <c r="J14">
        <v>0.23100000000000001</v>
      </c>
    </row>
    <row r="15" spans="1:10" x14ac:dyDescent="0.3">
      <c r="A15">
        <v>19</v>
      </c>
      <c r="B15">
        <v>1</v>
      </c>
      <c r="C15">
        <v>7.7469999999999999</v>
      </c>
      <c r="D15">
        <v>20.506</v>
      </c>
      <c r="E15">
        <v>0.439</v>
      </c>
      <c r="F15">
        <v>1</v>
      </c>
      <c r="G15">
        <v>4.0788000000000002</v>
      </c>
      <c r="H15">
        <v>4.1264000000000003</v>
      </c>
      <c r="I15">
        <v>0.90359999999999996</v>
      </c>
      <c r="J15">
        <v>7.6999999999999999E-2</v>
      </c>
    </row>
    <row r="16" spans="1:10" x14ac:dyDescent="0.3">
      <c r="A16">
        <v>20</v>
      </c>
      <c r="B16">
        <v>1</v>
      </c>
      <c r="C16">
        <v>3.6579999999999999</v>
      </c>
      <c r="D16">
        <v>13.791</v>
      </c>
      <c r="E16">
        <v>0.35099999999999998</v>
      </c>
      <c r="F16">
        <v>0</v>
      </c>
      <c r="G16">
        <v>6.3551000000000002</v>
      </c>
      <c r="H16">
        <v>0.14749999999999999</v>
      </c>
      <c r="I16">
        <v>0</v>
      </c>
      <c r="J1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6"/>
  <sheetViews>
    <sheetView workbookViewId="0">
      <selection activeCell="G11" sqref="G11"/>
    </sheetView>
  </sheetViews>
  <sheetFormatPr defaultRowHeight="14.4" x14ac:dyDescent="0.3"/>
  <sheetData>
    <row r="1" spans="1:17" x14ac:dyDescent="0.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261</v>
      </c>
      <c r="N1" s="1" t="s">
        <v>262</v>
      </c>
      <c r="O1" s="1" t="s">
        <v>263</v>
      </c>
    </row>
    <row r="2" spans="1:17" x14ac:dyDescent="0.3">
      <c r="A2" s="9" t="s">
        <v>264</v>
      </c>
      <c r="B2" s="9" t="s">
        <v>15</v>
      </c>
      <c r="C2" s="9" t="s">
        <v>265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x14ac:dyDescent="0.3">
      <c r="A3" s="9" t="s">
        <v>264</v>
      </c>
      <c r="B3" s="9" t="s">
        <v>15</v>
      </c>
      <c r="C3" s="9" t="s">
        <v>266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x14ac:dyDescent="0.3">
      <c r="A4" s="9" t="s">
        <v>264</v>
      </c>
      <c r="B4" s="9" t="s">
        <v>15</v>
      </c>
      <c r="C4" s="9" t="s">
        <v>267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x14ac:dyDescent="0.3">
      <c r="A5" s="9" t="s">
        <v>264</v>
      </c>
      <c r="B5" s="9" t="s">
        <v>15</v>
      </c>
      <c r="C5" s="9" t="s">
        <v>268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x14ac:dyDescent="0.3">
      <c r="A6" s="9" t="s">
        <v>264</v>
      </c>
      <c r="B6" s="9" t="s">
        <v>15</v>
      </c>
      <c r="C6" s="9" t="s">
        <v>269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x14ac:dyDescent="0.3">
      <c r="A7" s="9" t="s">
        <v>264</v>
      </c>
      <c r="B7" s="9" t="s">
        <v>15</v>
      </c>
      <c r="C7" s="9" t="s">
        <v>270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x14ac:dyDescent="0.3">
      <c r="A8" s="9" t="s">
        <v>264</v>
      </c>
      <c r="B8" s="9" t="s">
        <v>15</v>
      </c>
      <c r="C8" s="9" t="s">
        <v>271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x14ac:dyDescent="0.3">
      <c r="A9" s="9" t="s">
        <v>264</v>
      </c>
      <c r="B9" s="9" t="s">
        <v>15</v>
      </c>
      <c r="C9" s="9" t="s">
        <v>272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x14ac:dyDescent="0.3">
      <c r="A10" s="9" t="s">
        <v>264</v>
      </c>
      <c r="B10" s="9" t="s">
        <v>15</v>
      </c>
      <c r="C10" s="9" t="s">
        <v>273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 x14ac:dyDescent="0.3">
      <c r="A11" s="9" t="s">
        <v>264</v>
      </c>
      <c r="B11" s="9" t="s">
        <v>15</v>
      </c>
      <c r="C11" s="9" t="s">
        <v>274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 x14ac:dyDescent="0.3">
      <c r="A12" s="9" t="s">
        <v>264</v>
      </c>
      <c r="B12" s="9" t="s">
        <v>15</v>
      </c>
      <c r="C12" s="9" t="s">
        <v>275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 x14ac:dyDescent="0.3">
      <c r="A13" s="9" t="s">
        <v>264</v>
      </c>
      <c r="B13" s="9" t="s">
        <v>15</v>
      </c>
      <c r="C13" s="9" t="s">
        <v>276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x14ac:dyDescent="0.3">
      <c r="A14" s="9" t="s">
        <v>264</v>
      </c>
      <c r="B14" s="9" t="s">
        <v>15</v>
      </c>
      <c r="C14" s="9" t="s">
        <v>277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 x14ac:dyDescent="0.3">
      <c r="A15" s="9" t="s">
        <v>264</v>
      </c>
      <c r="B15" s="9" t="s">
        <v>15</v>
      </c>
      <c r="C15" s="9" t="s">
        <v>278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 x14ac:dyDescent="0.3">
      <c r="A16" s="9" t="s">
        <v>264</v>
      </c>
      <c r="B16" s="9" t="s">
        <v>15</v>
      </c>
      <c r="C16" s="9" t="s">
        <v>279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x14ac:dyDescent="0.3">
      <c r="A17" s="9" t="s">
        <v>264</v>
      </c>
      <c r="B17" s="9" t="s">
        <v>15</v>
      </c>
      <c r="C17" s="9" t="s">
        <v>280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x14ac:dyDescent="0.3">
      <c r="A18" s="9" t="s">
        <v>264</v>
      </c>
      <c r="B18" s="9" t="s">
        <v>15</v>
      </c>
      <c r="C18" s="9" t="s">
        <v>281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 x14ac:dyDescent="0.3">
      <c r="A19" s="9" t="s">
        <v>264</v>
      </c>
      <c r="B19" s="9" t="s">
        <v>15</v>
      </c>
      <c r="C19" s="9" t="s">
        <v>282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 x14ac:dyDescent="0.3">
      <c r="A20" s="9" t="s">
        <v>264</v>
      </c>
      <c r="B20" s="9" t="s">
        <v>15</v>
      </c>
      <c r="C20" s="9" t="s">
        <v>283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5"/>
  <sheetViews>
    <sheetView workbookViewId="0">
      <selection activeCell="T12" sqref="T12"/>
    </sheetView>
  </sheetViews>
  <sheetFormatPr defaultRowHeight="14.4" x14ac:dyDescent="0.3"/>
  <sheetData>
    <row r="1" spans="1:18" x14ac:dyDescent="0.3">
      <c r="A1" s="1" t="s">
        <v>284</v>
      </c>
      <c r="B1" s="1" t="s">
        <v>0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296</v>
      </c>
      <c r="O1" s="1" t="s">
        <v>297</v>
      </c>
      <c r="P1" s="1" t="s">
        <v>298</v>
      </c>
      <c r="Q1" s="1" t="s">
        <v>299</v>
      </c>
      <c r="R1" s="1" t="s">
        <v>300</v>
      </c>
    </row>
    <row r="2" spans="1:18" x14ac:dyDescent="0.3">
      <c r="A2" t="s">
        <v>301</v>
      </c>
      <c r="B2">
        <v>1</v>
      </c>
      <c r="C2">
        <v>1</v>
      </c>
      <c r="D2">
        <v>1</v>
      </c>
      <c r="E2">
        <v>28.92</v>
      </c>
      <c r="F2">
        <v>30.9</v>
      </c>
      <c r="G2">
        <v>1.98</v>
      </c>
      <c r="H2">
        <v>1</v>
      </c>
      <c r="I2">
        <v>1</v>
      </c>
      <c r="J2">
        <v>0.04</v>
      </c>
      <c r="K2">
        <v>1</v>
      </c>
      <c r="L2">
        <v>0.76</v>
      </c>
      <c r="M2">
        <v>5.4199999999999998E-2</v>
      </c>
      <c r="N2">
        <v>0</v>
      </c>
      <c r="O2">
        <v>1.1959</v>
      </c>
      <c r="P2">
        <v>0</v>
      </c>
      <c r="Q2">
        <v>0</v>
      </c>
      <c r="R2">
        <v>0</v>
      </c>
    </row>
    <row r="3" spans="1:18" x14ac:dyDescent="0.3">
      <c r="A3" t="s">
        <v>301</v>
      </c>
      <c r="B3">
        <v>2</v>
      </c>
      <c r="C3">
        <v>2</v>
      </c>
      <c r="D3">
        <v>2</v>
      </c>
      <c r="E3">
        <v>34.06</v>
      </c>
      <c r="F3">
        <v>35.700000000000003</v>
      </c>
      <c r="G3">
        <v>1.64</v>
      </c>
      <c r="H3">
        <v>1</v>
      </c>
      <c r="I3">
        <v>0</v>
      </c>
      <c r="J3">
        <v>0</v>
      </c>
      <c r="K3">
        <v>0</v>
      </c>
      <c r="L3">
        <v>-1</v>
      </c>
      <c r="M3">
        <v>0</v>
      </c>
      <c r="N3">
        <v>0</v>
      </c>
      <c r="O3">
        <v>1.0222</v>
      </c>
      <c r="P3">
        <v>157.45410000000001</v>
      </c>
      <c r="Q3">
        <v>2.2317</v>
      </c>
      <c r="R3">
        <v>11.0899</v>
      </c>
    </row>
    <row r="4" spans="1:18" x14ac:dyDescent="0.3">
      <c r="A4" t="s">
        <v>301</v>
      </c>
      <c r="B4">
        <v>3</v>
      </c>
      <c r="C4">
        <v>3</v>
      </c>
      <c r="D4">
        <v>3</v>
      </c>
      <c r="E4">
        <v>37.4</v>
      </c>
      <c r="F4">
        <v>38.56</v>
      </c>
      <c r="G4">
        <v>1.1599999999999999</v>
      </c>
      <c r="H4">
        <v>1</v>
      </c>
      <c r="I4">
        <v>0</v>
      </c>
      <c r="J4">
        <v>0</v>
      </c>
      <c r="K4">
        <v>0</v>
      </c>
      <c r="L4">
        <v>-1</v>
      </c>
      <c r="M4">
        <v>0.41789999999999999</v>
      </c>
      <c r="N4">
        <v>0</v>
      </c>
      <c r="O4">
        <v>0.98209999999999997</v>
      </c>
      <c r="P4">
        <v>187.80260000000001</v>
      </c>
      <c r="Q4">
        <v>2.2433000000000001</v>
      </c>
      <c r="R4">
        <v>12.5525</v>
      </c>
    </row>
    <row r="5" spans="1:18" x14ac:dyDescent="0.3">
      <c r="A5" t="s">
        <v>301</v>
      </c>
      <c r="B5">
        <v>4</v>
      </c>
      <c r="C5">
        <v>4</v>
      </c>
      <c r="D5">
        <v>4</v>
      </c>
      <c r="E5">
        <v>69.599999999999994</v>
      </c>
      <c r="F5">
        <v>71.12</v>
      </c>
      <c r="G5">
        <v>1.52</v>
      </c>
      <c r="H5">
        <v>1</v>
      </c>
      <c r="I5">
        <v>1</v>
      </c>
      <c r="J5">
        <v>0.06</v>
      </c>
      <c r="K5">
        <v>3</v>
      </c>
      <c r="L5">
        <v>0.4</v>
      </c>
      <c r="M5">
        <v>0</v>
      </c>
      <c r="N5">
        <v>0</v>
      </c>
      <c r="O5">
        <v>0.95879999999999999</v>
      </c>
      <c r="P5">
        <v>178.54429999999999</v>
      </c>
      <c r="Q5">
        <v>2.2452999999999999</v>
      </c>
      <c r="R5">
        <v>61.3611</v>
      </c>
    </row>
    <row r="6" spans="1:18" x14ac:dyDescent="0.3">
      <c r="A6" t="s">
        <v>301</v>
      </c>
      <c r="B6">
        <v>5</v>
      </c>
      <c r="C6">
        <v>5</v>
      </c>
      <c r="D6">
        <v>5</v>
      </c>
      <c r="E6">
        <v>71.14</v>
      </c>
      <c r="F6">
        <v>72.52</v>
      </c>
      <c r="G6">
        <v>1.38</v>
      </c>
      <c r="H6">
        <v>1</v>
      </c>
      <c r="I6">
        <v>0</v>
      </c>
      <c r="J6">
        <v>0</v>
      </c>
      <c r="K6">
        <v>0</v>
      </c>
      <c r="L6">
        <v>-1</v>
      </c>
      <c r="M6">
        <v>1.3153999999999999</v>
      </c>
      <c r="N6">
        <v>0</v>
      </c>
      <c r="O6">
        <v>1.3642000000000001</v>
      </c>
      <c r="P6">
        <v>164.74639999999999</v>
      </c>
      <c r="Q6">
        <v>3.5061</v>
      </c>
      <c r="R6">
        <v>59.354100000000003</v>
      </c>
    </row>
    <row r="7" spans="1:18" x14ac:dyDescent="0.3">
      <c r="A7" t="s">
        <v>301</v>
      </c>
      <c r="B7">
        <v>6</v>
      </c>
      <c r="C7">
        <v>6</v>
      </c>
      <c r="D7">
        <v>6</v>
      </c>
      <c r="E7">
        <v>72.92</v>
      </c>
      <c r="F7">
        <v>74.319999999999993</v>
      </c>
      <c r="G7">
        <v>1.4</v>
      </c>
      <c r="H7">
        <v>1</v>
      </c>
      <c r="I7">
        <v>0</v>
      </c>
      <c r="J7">
        <v>0</v>
      </c>
      <c r="K7">
        <v>0</v>
      </c>
      <c r="L7">
        <v>-1</v>
      </c>
      <c r="M7">
        <v>8.5099999999999995E-2</v>
      </c>
      <c r="N7">
        <v>0</v>
      </c>
      <c r="O7">
        <v>1.4046000000000001</v>
      </c>
      <c r="P7">
        <v>147.60329999999999</v>
      </c>
      <c r="Q7">
        <v>12.1432</v>
      </c>
      <c r="R7">
        <v>62.782499999999999</v>
      </c>
    </row>
    <row r="8" spans="1:18" x14ac:dyDescent="0.3">
      <c r="A8" t="s">
        <v>302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">
      <c r="A9" t="s">
        <v>301</v>
      </c>
      <c r="B9">
        <v>4</v>
      </c>
      <c r="C9">
        <v>4</v>
      </c>
      <c r="D9">
        <v>4</v>
      </c>
      <c r="E9">
        <v>91.88</v>
      </c>
      <c r="F9">
        <v>93.36</v>
      </c>
      <c r="G9">
        <v>1.48</v>
      </c>
      <c r="H9">
        <v>1</v>
      </c>
      <c r="I9">
        <v>1</v>
      </c>
      <c r="J9">
        <v>0.02</v>
      </c>
      <c r="K9">
        <v>1</v>
      </c>
      <c r="L9">
        <v>0.46</v>
      </c>
      <c r="M9">
        <v>0</v>
      </c>
      <c r="N9">
        <v>0</v>
      </c>
      <c r="O9">
        <v>1.0235000000000001</v>
      </c>
      <c r="P9">
        <v>0</v>
      </c>
      <c r="Q9">
        <v>0</v>
      </c>
      <c r="R9">
        <v>0</v>
      </c>
    </row>
    <row r="10" spans="1:18" x14ac:dyDescent="0.3">
      <c r="A10" t="s">
        <v>301</v>
      </c>
      <c r="B10">
        <v>5</v>
      </c>
      <c r="C10">
        <v>5</v>
      </c>
      <c r="D10">
        <v>5</v>
      </c>
      <c r="E10">
        <v>93.4</v>
      </c>
      <c r="F10">
        <v>94.76</v>
      </c>
      <c r="G10">
        <v>1.36</v>
      </c>
      <c r="H10">
        <v>1</v>
      </c>
      <c r="I10">
        <v>0</v>
      </c>
      <c r="J10">
        <v>0</v>
      </c>
      <c r="K10">
        <v>0</v>
      </c>
      <c r="L10">
        <v>-1</v>
      </c>
      <c r="M10">
        <v>1.2363999999999999</v>
      </c>
      <c r="N10">
        <v>0</v>
      </c>
      <c r="O10">
        <v>1.3574999999999999</v>
      </c>
      <c r="P10">
        <v>164.5155</v>
      </c>
      <c r="Q10">
        <v>3.0442</v>
      </c>
      <c r="R10">
        <v>61.293900000000001</v>
      </c>
    </row>
    <row r="11" spans="1:18" x14ac:dyDescent="0.3">
      <c r="A11" t="s">
        <v>301</v>
      </c>
      <c r="B11">
        <v>6</v>
      </c>
      <c r="C11">
        <v>6</v>
      </c>
      <c r="D11">
        <v>6</v>
      </c>
      <c r="E11">
        <v>95.12</v>
      </c>
      <c r="F11">
        <v>96.1</v>
      </c>
      <c r="G11">
        <v>0.98</v>
      </c>
      <c r="H11">
        <v>1</v>
      </c>
      <c r="I11">
        <v>0</v>
      </c>
      <c r="J11">
        <v>0</v>
      </c>
      <c r="K11">
        <v>0</v>
      </c>
      <c r="L11">
        <v>-1</v>
      </c>
      <c r="M11">
        <v>0</v>
      </c>
      <c r="N11">
        <v>0</v>
      </c>
      <c r="O11">
        <v>0.9819</v>
      </c>
      <c r="P11">
        <v>147.5701</v>
      </c>
      <c r="Q11">
        <v>3.6846999999999999</v>
      </c>
      <c r="R11">
        <v>62.0627</v>
      </c>
    </row>
    <row r="12" spans="1:18" x14ac:dyDescent="0.3">
      <c r="A12" t="s">
        <v>302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">
      <c r="A13" t="s">
        <v>301</v>
      </c>
      <c r="B13">
        <v>4</v>
      </c>
      <c r="C13">
        <v>4</v>
      </c>
      <c r="D13">
        <v>4</v>
      </c>
      <c r="E13">
        <v>114.12</v>
      </c>
      <c r="F13">
        <v>115.68</v>
      </c>
      <c r="G13">
        <v>1.56</v>
      </c>
      <c r="H13">
        <v>1</v>
      </c>
      <c r="I13">
        <v>0</v>
      </c>
      <c r="J13">
        <v>0</v>
      </c>
      <c r="K13">
        <v>0</v>
      </c>
      <c r="L13">
        <v>-1</v>
      </c>
      <c r="M13">
        <v>0.13039999999999999</v>
      </c>
      <c r="N13">
        <v>0</v>
      </c>
      <c r="O13">
        <v>1.1406000000000001</v>
      </c>
      <c r="P13">
        <v>178.19929999999999</v>
      </c>
      <c r="Q13">
        <v>2.5785999999999998</v>
      </c>
      <c r="R13">
        <v>59.109099999999998</v>
      </c>
    </row>
    <row r="14" spans="1:18" x14ac:dyDescent="0.3">
      <c r="A14" t="s">
        <v>301</v>
      </c>
      <c r="B14">
        <v>5</v>
      </c>
      <c r="C14">
        <v>5</v>
      </c>
      <c r="D14">
        <v>5</v>
      </c>
      <c r="E14">
        <v>115.72</v>
      </c>
      <c r="F14">
        <v>117.26</v>
      </c>
      <c r="G14">
        <v>1.54</v>
      </c>
      <c r="H14">
        <v>1</v>
      </c>
      <c r="I14">
        <v>0</v>
      </c>
      <c r="J14">
        <v>0</v>
      </c>
      <c r="K14">
        <v>0</v>
      </c>
      <c r="L14">
        <v>-1</v>
      </c>
      <c r="M14">
        <v>0.90510000000000002</v>
      </c>
      <c r="N14">
        <v>0</v>
      </c>
      <c r="O14">
        <v>1.5449999999999999</v>
      </c>
      <c r="P14">
        <v>164.69829999999999</v>
      </c>
      <c r="Q14">
        <v>6.1539000000000001</v>
      </c>
      <c r="R14">
        <v>60.756500000000003</v>
      </c>
    </row>
    <row r="15" spans="1:18" x14ac:dyDescent="0.3">
      <c r="A15" t="s">
        <v>301</v>
      </c>
      <c r="B15">
        <v>6</v>
      </c>
      <c r="C15">
        <v>6</v>
      </c>
      <c r="D15">
        <v>6</v>
      </c>
      <c r="E15">
        <v>117.64</v>
      </c>
      <c r="F15">
        <v>118.66</v>
      </c>
      <c r="G15">
        <v>1.02</v>
      </c>
      <c r="H15">
        <v>1</v>
      </c>
      <c r="I15">
        <v>1</v>
      </c>
      <c r="J15">
        <v>0.32</v>
      </c>
      <c r="K15">
        <v>3</v>
      </c>
      <c r="L15">
        <v>0.7</v>
      </c>
      <c r="M15">
        <v>0</v>
      </c>
      <c r="N15">
        <v>0</v>
      </c>
      <c r="O15">
        <v>1.0085</v>
      </c>
      <c r="P15">
        <v>0</v>
      </c>
      <c r="Q15">
        <v>0</v>
      </c>
      <c r="R15">
        <v>0</v>
      </c>
    </row>
    <row r="16" spans="1:18" x14ac:dyDescent="0.3">
      <c r="A16" t="s">
        <v>302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">
      <c r="A17" t="s">
        <v>301</v>
      </c>
      <c r="B17">
        <v>4</v>
      </c>
      <c r="C17">
        <v>4</v>
      </c>
      <c r="D17">
        <v>4</v>
      </c>
      <c r="E17">
        <v>136.44</v>
      </c>
      <c r="F17">
        <v>137.47999999999999</v>
      </c>
      <c r="G17">
        <v>1.04</v>
      </c>
      <c r="H17">
        <v>1</v>
      </c>
      <c r="I17">
        <v>1</v>
      </c>
      <c r="J17">
        <v>0.12</v>
      </c>
      <c r="K17">
        <v>3</v>
      </c>
      <c r="L17">
        <v>0.48</v>
      </c>
      <c r="M17">
        <v>0</v>
      </c>
      <c r="N17">
        <v>0.60519999999999996</v>
      </c>
      <c r="O17">
        <v>0.1351</v>
      </c>
      <c r="P17">
        <v>0</v>
      </c>
      <c r="Q17">
        <v>0</v>
      </c>
      <c r="R17">
        <v>0</v>
      </c>
    </row>
    <row r="18" spans="1:18" x14ac:dyDescent="0.3">
      <c r="A18" t="s">
        <v>301</v>
      </c>
      <c r="B18">
        <v>5</v>
      </c>
      <c r="C18">
        <v>5</v>
      </c>
      <c r="D18">
        <v>5</v>
      </c>
      <c r="E18">
        <v>137.47999999999999</v>
      </c>
      <c r="F18">
        <v>138.69999999999999</v>
      </c>
      <c r="G18">
        <v>1.22</v>
      </c>
      <c r="H18">
        <v>1</v>
      </c>
      <c r="I18">
        <v>0</v>
      </c>
      <c r="J18">
        <v>0</v>
      </c>
      <c r="K18">
        <v>0</v>
      </c>
      <c r="L18">
        <v>-1</v>
      </c>
      <c r="M18">
        <v>0.246</v>
      </c>
      <c r="N18">
        <v>0</v>
      </c>
      <c r="O18">
        <v>0.96030000000000004</v>
      </c>
      <c r="P18">
        <v>0</v>
      </c>
      <c r="Q18">
        <v>0</v>
      </c>
      <c r="R18">
        <v>0</v>
      </c>
    </row>
    <row r="19" spans="1:18" x14ac:dyDescent="0.3">
      <c r="A19" t="s">
        <v>301</v>
      </c>
      <c r="B19">
        <v>6</v>
      </c>
      <c r="C19">
        <v>6</v>
      </c>
      <c r="D19">
        <v>6</v>
      </c>
      <c r="E19">
        <v>139.08000000000001</v>
      </c>
      <c r="F19">
        <v>140.44</v>
      </c>
      <c r="G19">
        <v>1.36</v>
      </c>
      <c r="H19">
        <v>1</v>
      </c>
      <c r="I19">
        <v>0</v>
      </c>
      <c r="J19">
        <v>0</v>
      </c>
      <c r="K19">
        <v>0</v>
      </c>
      <c r="L19">
        <v>-1</v>
      </c>
      <c r="M19">
        <v>0.32379999999999998</v>
      </c>
      <c r="N19">
        <v>0</v>
      </c>
      <c r="O19">
        <v>1.3635999999999999</v>
      </c>
      <c r="P19">
        <v>147.3486</v>
      </c>
      <c r="Q19">
        <v>4.9328000000000003</v>
      </c>
      <c r="R19">
        <v>61.243299999999998</v>
      </c>
    </row>
    <row r="20" spans="1:18" x14ac:dyDescent="0.3">
      <c r="A20" t="s">
        <v>302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">
      <c r="A21" t="s">
        <v>301</v>
      </c>
      <c r="B21">
        <v>4</v>
      </c>
      <c r="C21">
        <v>4</v>
      </c>
      <c r="D21">
        <v>4</v>
      </c>
      <c r="E21">
        <v>158.84</v>
      </c>
      <c r="F21">
        <v>159.91999999999999</v>
      </c>
      <c r="G21">
        <v>1.08</v>
      </c>
      <c r="H21">
        <v>1</v>
      </c>
      <c r="I21">
        <v>1</v>
      </c>
      <c r="J21">
        <v>0.14000000000000001</v>
      </c>
      <c r="K21">
        <v>3</v>
      </c>
      <c r="L21">
        <v>0.48</v>
      </c>
      <c r="M21">
        <v>0</v>
      </c>
      <c r="N21">
        <v>0.60440000000000005</v>
      </c>
      <c r="O21">
        <v>0</v>
      </c>
      <c r="P21">
        <v>0</v>
      </c>
      <c r="Q21">
        <v>0</v>
      </c>
      <c r="R21">
        <v>0</v>
      </c>
    </row>
    <row r="22" spans="1:18" x14ac:dyDescent="0.3">
      <c r="A22" t="s">
        <v>301</v>
      </c>
      <c r="B22">
        <v>5</v>
      </c>
      <c r="C22">
        <v>5</v>
      </c>
      <c r="D22">
        <v>5</v>
      </c>
      <c r="E22">
        <v>159.91999999999999</v>
      </c>
      <c r="F22">
        <v>160.69999999999999</v>
      </c>
      <c r="G22">
        <v>0.78</v>
      </c>
      <c r="H22">
        <v>1</v>
      </c>
      <c r="I22">
        <v>0</v>
      </c>
      <c r="J22">
        <v>0</v>
      </c>
      <c r="K22">
        <v>0</v>
      </c>
      <c r="L22">
        <v>-1</v>
      </c>
      <c r="M22">
        <v>0</v>
      </c>
      <c r="N22">
        <v>0</v>
      </c>
      <c r="O22">
        <v>0.64129999999999998</v>
      </c>
      <c r="P22">
        <v>164.43639999999999</v>
      </c>
      <c r="Q22">
        <v>1.9950000000000001</v>
      </c>
      <c r="R22">
        <v>58.416699999999999</v>
      </c>
    </row>
    <row r="23" spans="1:18" x14ac:dyDescent="0.3">
      <c r="A23" t="s">
        <v>301</v>
      </c>
      <c r="B23">
        <v>6</v>
      </c>
      <c r="C23">
        <v>6</v>
      </c>
      <c r="D23">
        <v>6</v>
      </c>
      <c r="E23">
        <v>160.86000000000001</v>
      </c>
      <c r="F23">
        <v>161.94</v>
      </c>
      <c r="G23">
        <v>1.08</v>
      </c>
      <c r="H23">
        <v>1</v>
      </c>
      <c r="I23">
        <v>1</v>
      </c>
      <c r="J23">
        <v>0.1</v>
      </c>
      <c r="K23">
        <v>3</v>
      </c>
      <c r="L23">
        <v>0.52</v>
      </c>
      <c r="M23">
        <v>0</v>
      </c>
      <c r="N23">
        <v>0.81859999999999999</v>
      </c>
      <c r="O23">
        <v>0</v>
      </c>
      <c r="P23">
        <v>0</v>
      </c>
      <c r="Q23">
        <v>0</v>
      </c>
      <c r="R23">
        <v>0</v>
      </c>
    </row>
    <row r="24" spans="1:18" x14ac:dyDescent="0.3">
      <c r="A24" t="s">
        <v>301</v>
      </c>
      <c r="B24">
        <v>7</v>
      </c>
      <c r="C24">
        <v>7</v>
      </c>
      <c r="D24">
        <v>7</v>
      </c>
      <c r="E24">
        <v>163.88</v>
      </c>
      <c r="F24">
        <v>164.96</v>
      </c>
      <c r="G24">
        <v>1.08</v>
      </c>
      <c r="H24">
        <v>1</v>
      </c>
      <c r="I24">
        <v>1</v>
      </c>
      <c r="J24">
        <v>0.14000000000000001</v>
      </c>
      <c r="K24">
        <v>3</v>
      </c>
      <c r="L24">
        <v>0.48</v>
      </c>
      <c r="M24">
        <v>0</v>
      </c>
      <c r="N24">
        <v>0.95569999999999999</v>
      </c>
      <c r="O24">
        <v>0</v>
      </c>
      <c r="P24">
        <v>0</v>
      </c>
      <c r="Q24">
        <v>0</v>
      </c>
      <c r="R24">
        <v>0</v>
      </c>
    </row>
    <row r="25" spans="1:18" x14ac:dyDescent="0.3">
      <c r="A25" t="s">
        <v>301</v>
      </c>
      <c r="B25">
        <v>8</v>
      </c>
      <c r="C25">
        <v>8</v>
      </c>
      <c r="D25">
        <v>8</v>
      </c>
      <c r="E25">
        <v>165.5</v>
      </c>
      <c r="F25">
        <v>166.4</v>
      </c>
      <c r="G25">
        <v>0.9</v>
      </c>
      <c r="H25">
        <v>1</v>
      </c>
      <c r="I25">
        <v>0</v>
      </c>
      <c r="J25">
        <v>0</v>
      </c>
      <c r="K25">
        <v>0</v>
      </c>
      <c r="L25">
        <v>-1</v>
      </c>
      <c r="M25">
        <v>0</v>
      </c>
      <c r="N25">
        <v>0</v>
      </c>
      <c r="O25">
        <v>0.58450000000000002</v>
      </c>
      <c r="P25">
        <v>86.927499999999995</v>
      </c>
      <c r="Q25">
        <v>1.9951000000000001</v>
      </c>
      <c r="R25">
        <v>57.940899999999999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8"/>
  <sheetViews>
    <sheetView workbookViewId="0">
      <selection activeCell="O12" sqref="O12"/>
    </sheetView>
  </sheetViews>
  <sheetFormatPr defaultRowHeight="14.4" x14ac:dyDescent="0.3"/>
  <sheetData>
    <row r="1" spans="1:16" x14ac:dyDescent="0.3">
      <c r="A1" s="1" t="s">
        <v>284</v>
      </c>
      <c r="B1" s="1" t="s">
        <v>285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312</v>
      </c>
      <c r="M1" s="1"/>
      <c r="N1" s="1" t="s">
        <v>313</v>
      </c>
      <c r="O1" s="1" t="s">
        <v>314</v>
      </c>
      <c r="P1" s="1" t="s">
        <v>315</v>
      </c>
    </row>
    <row r="2" spans="1:16" x14ac:dyDescent="0.3">
      <c r="A2" t="s">
        <v>316</v>
      </c>
      <c r="B2">
        <v>0</v>
      </c>
      <c r="C2">
        <v>0</v>
      </c>
      <c r="D2">
        <v>4.67</v>
      </c>
      <c r="E2">
        <v>0.15390000000000001</v>
      </c>
      <c r="F2">
        <v>2.1015000000000001</v>
      </c>
      <c r="G2">
        <v>2.5489999999999999</v>
      </c>
      <c r="H2">
        <v>1.7450000000000001</v>
      </c>
      <c r="I2">
        <v>189</v>
      </c>
      <c r="J2">
        <v>0.45</v>
      </c>
      <c r="K2">
        <v>0</v>
      </c>
      <c r="L2">
        <v>26</v>
      </c>
    </row>
    <row r="3" spans="1:16" x14ac:dyDescent="0.3">
      <c r="A3" t="s">
        <v>316</v>
      </c>
      <c r="B3">
        <v>0</v>
      </c>
      <c r="C3">
        <v>0</v>
      </c>
      <c r="D3">
        <v>0.22</v>
      </c>
      <c r="E3">
        <v>0.13489999999999999</v>
      </c>
      <c r="F3">
        <v>1.4887999999999999</v>
      </c>
      <c r="G3">
        <v>1.7274</v>
      </c>
      <c r="H3">
        <v>1.3212999999999999</v>
      </c>
      <c r="I3">
        <v>9</v>
      </c>
      <c r="J3">
        <v>0</v>
      </c>
      <c r="K3">
        <v>0</v>
      </c>
      <c r="L3">
        <v>2</v>
      </c>
    </row>
    <row r="4" spans="1:16" x14ac:dyDescent="0.3">
      <c r="A4" t="s">
        <v>316</v>
      </c>
      <c r="B4">
        <v>1</v>
      </c>
      <c r="C4">
        <v>0</v>
      </c>
      <c r="D4">
        <v>1.07</v>
      </c>
      <c r="E4">
        <v>2.6200000000000001E-2</v>
      </c>
      <c r="F4">
        <v>5.5297000000000001</v>
      </c>
      <c r="G4">
        <v>5.5690999999999997</v>
      </c>
      <c r="H4">
        <v>5.4263000000000003</v>
      </c>
      <c r="I4">
        <v>43</v>
      </c>
      <c r="J4">
        <v>0.18</v>
      </c>
      <c r="K4">
        <v>0</v>
      </c>
      <c r="L4">
        <v>2</v>
      </c>
    </row>
    <row r="5" spans="1:16" x14ac:dyDescent="0.3">
      <c r="A5" t="s">
        <v>316</v>
      </c>
      <c r="B5">
        <v>1</v>
      </c>
      <c r="C5">
        <v>0</v>
      </c>
      <c r="D5">
        <v>1.59</v>
      </c>
      <c r="E5">
        <v>2.4500000000000001E-2</v>
      </c>
      <c r="F5">
        <v>8.4962999999999997</v>
      </c>
      <c r="G5">
        <v>8.5380000000000003</v>
      </c>
      <c r="H5">
        <v>8.3651</v>
      </c>
      <c r="I5">
        <v>64</v>
      </c>
      <c r="J5">
        <v>0.15</v>
      </c>
      <c r="K5">
        <v>0</v>
      </c>
      <c r="L5">
        <v>4</v>
      </c>
    </row>
    <row r="6" spans="1:16" x14ac:dyDescent="0.3">
      <c r="A6" t="s">
        <v>316</v>
      </c>
      <c r="B6">
        <v>2</v>
      </c>
      <c r="C6">
        <v>0</v>
      </c>
      <c r="D6">
        <v>3.93</v>
      </c>
      <c r="E6">
        <v>0.65449999999999997</v>
      </c>
      <c r="F6">
        <v>9.7955000000000005</v>
      </c>
      <c r="G6">
        <v>10.5395</v>
      </c>
      <c r="H6">
        <v>8.5876000000000001</v>
      </c>
      <c r="I6">
        <v>95</v>
      </c>
      <c r="J6">
        <v>1.89</v>
      </c>
      <c r="K6">
        <v>1</v>
      </c>
      <c r="L6">
        <v>19</v>
      </c>
    </row>
    <row r="7" spans="1:16" x14ac:dyDescent="0.3">
      <c r="A7" t="s">
        <v>302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6" x14ac:dyDescent="0.3">
      <c r="A8" t="s">
        <v>316</v>
      </c>
      <c r="B8">
        <v>2</v>
      </c>
      <c r="C8">
        <v>0</v>
      </c>
      <c r="D8">
        <v>3.79</v>
      </c>
      <c r="E8">
        <v>0.41089999999999999</v>
      </c>
      <c r="F8">
        <v>8.4702999999999999</v>
      </c>
      <c r="G8">
        <v>9.9612999999999996</v>
      </c>
      <c r="H8">
        <v>7.3193000000000001</v>
      </c>
      <c r="I8">
        <v>90</v>
      </c>
      <c r="J8">
        <v>0</v>
      </c>
      <c r="K8">
        <v>1</v>
      </c>
      <c r="L8">
        <v>21</v>
      </c>
    </row>
    <row r="9" spans="1:16" x14ac:dyDescent="0.3">
      <c r="A9" t="s">
        <v>302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6" x14ac:dyDescent="0.3">
      <c r="A10" t="s">
        <v>316</v>
      </c>
      <c r="B10">
        <v>2</v>
      </c>
      <c r="C10">
        <v>0</v>
      </c>
      <c r="D10">
        <v>3.65</v>
      </c>
      <c r="E10">
        <v>0.753</v>
      </c>
      <c r="F10">
        <v>7.0625999999999998</v>
      </c>
      <c r="G10">
        <v>7.5381</v>
      </c>
      <c r="H10">
        <v>3.8359999999999999</v>
      </c>
      <c r="I10">
        <v>86</v>
      </c>
      <c r="J10">
        <v>0.68</v>
      </c>
      <c r="K10">
        <v>1</v>
      </c>
      <c r="L10">
        <v>15</v>
      </c>
    </row>
    <row r="11" spans="1:16" x14ac:dyDescent="0.3">
      <c r="A11" t="s">
        <v>302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6" x14ac:dyDescent="0.3">
      <c r="A12" t="s">
        <v>316</v>
      </c>
      <c r="B12">
        <v>2</v>
      </c>
      <c r="C12">
        <v>0</v>
      </c>
      <c r="D12">
        <v>3.34</v>
      </c>
      <c r="E12">
        <v>0.73360000000000003</v>
      </c>
      <c r="F12">
        <v>6.7465999999999999</v>
      </c>
      <c r="G12">
        <v>7.9978999999999996</v>
      </c>
      <c r="H12">
        <v>5.8888999999999996</v>
      </c>
      <c r="I12">
        <v>78</v>
      </c>
      <c r="J12">
        <v>1.48</v>
      </c>
      <c r="K12">
        <v>2</v>
      </c>
      <c r="L12">
        <v>16</v>
      </c>
    </row>
    <row r="13" spans="1:16" x14ac:dyDescent="0.3">
      <c r="A13" t="s">
        <v>316</v>
      </c>
      <c r="B13">
        <v>2</v>
      </c>
      <c r="C13">
        <v>0</v>
      </c>
      <c r="D13">
        <v>2.08</v>
      </c>
      <c r="E13">
        <v>9.5500000000000002E-2</v>
      </c>
      <c r="F13">
        <v>7.5557999999999996</v>
      </c>
      <c r="G13">
        <v>7.7359999999999998</v>
      </c>
      <c r="H13">
        <v>7.4108999999999998</v>
      </c>
      <c r="I13">
        <v>49</v>
      </c>
      <c r="J13">
        <v>0.52</v>
      </c>
      <c r="K13">
        <v>0</v>
      </c>
      <c r="L13">
        <v>13</v>
      </c>
    </row>
    <row r="14" spans="1:16" x14ac:dyDescent="0.3">
      <c r="A14" t="s">
        <v>302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6" x14ac:dyDescent="0.3">
      <c r="A15" t="s">
        <v>316</v>
      </c>
      <c r="B15">
        <v>2</v>
      </c>
      <c r="C15">
        <v>0</v>
      </c>
      <c r="D15">
        <v>1.46</v>
      </c>
      <c r="E15">
        <v>0.46629999999999999</v>
      </c>
      <c r="F15">
        <v>7.0175999999999998</v>
      </c>
      <c r="G15">
        <v>8.0685000000000002</v>
      </c>
      <c r="H15">
        <v>6.6920000000000002</v>
      </c>
      <c r="I15">
        <v>31</v>
      </c>
      <c r="J15">
        <v>0.82</v>
      </c>
      <c r="K15">
        <v>1</v>
      </c>
      <c r="L15">
        <v>6</v>
      </c>
    </row>
    <row r="16" spans="1:16" x14ac:dyDescent="0.3">
      <c r="A16" t="s">
        <v>316</v>
      </c>
      <c r="B16">
        <v>2</v>
      </c>
      <c r="C16">
        <v>0</v>
      </c>
      <c r="D16">
        <v>3.79</v>
      </c>
      <c r="E16">
        <v>0.11890000000000001</v>
      </c>
      <c r="F16">
        <v>8.1720000000000006</v>
      </c>
      <c r="G16">
        <v>8.3734999999999999</v>
      </c>
      <c r="H16">
        <v>7.9550999999999998</v>
      </c>
      <c r="I16">
        <v>88</v>
      </c>
      <c r="J16">
        <v>1.66</v>
      </c>
      <c r="K16">
        <v>0</v>
      </c>
      <c r="L16">
        <v>27</v>
      </c>
    </row>
    <row r="17" spans="1:12" x14ac:dyDescent="0.3">
      <c r="A17" t="s">
        <v>316</v>
      </c>
      <c r="B17">
        <v>2</v>
      </c>
      <c r="C17">
        <v>0</v>
      </c>
      <c r="D17">
        <v>0.34</v>
      </c>
      <c r="E17">
        <v>6.4000000000000001E-2</v>
      </c>
      <c r="F17">
        <v>3.8647</v>
      </c>
      <c r="G17">
        <v>4.0174000000000003</v>
      </c>
      <c r="H17">
        <v>3.8045</v>
      </c>
      <c r="I17">
        <v>8</v>
      </c>
      <c r="J17">
        <v>0</v>
      </c>
      <c r="K17">
        <v>0</v>
      </c>
      <c r="L17">
        <v>1</v>
      </c>
    </row>
    <row r="18" spans="1:12" x14ac:dyDescent="0.3">
      <c r="A18" t="s">
        <v>316</v>
      </c>
      <c r="B18">
        <v>2</v>
      </c>
      <c r="C18">
        <v>0</v>
      </c>
      <c r="D18">
        <v>4.7</v>
      </c>
      <c r="E18">
        <v>2.6800000000000001E-2</v>
      </c>
      <c r="F18">
        <v>3.8384999999999998</v>
      </c>
      <c r="G18">
        <v>3.9142000000000001</v>
      </c>
      <c r="H18">
        <v>3.7888999999999999</v>
      </c>
      <c r="I18">
        <v>115</v>
      </c>
      <c r="J18">
        <v>0.75</v>
      </c>
      <c r="K18">
        <v>0</v>
      </c>
      <c r="L18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"/>
  <sheetViews>
    <sheetView workbookViewId="0">
      <selection activeCell="H11" sqref="H11"/>
    </sheetView>
  </sheetViews>
  <sheetFormatPr defaultRowHeight="14.4" x14ac:dyDescent="0.3"/>
  <sheetData>
    <row r="1" spans="1:20" x14ac:dyDescent="0.3">
      <c r="A1" s="1" t="s">
        <v>317</v>
      </c>
      <c r="B1" s="1" t="s">
        <v>318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325</v>
      </c>
      <c r="J1" s="1" t="s">
        <v>326</v>
      </c>
      <c r="K1" s="1" t="s">
        <v>327</v>
      </c>
      <c r="L1" s="1" t="s">
        <v>328</v>
      </c>
      <c r="M1" s="1" t="s">
        <v>329</v>
      </c>
      <c r="N1" s="1" t="s">
        <v>330</v>
      </c>
      <c r="O1" s="1" t="s">
        <v>331</v>
      </c>
      <c r="P1" s="1" t="s">
        <v>332</v>
      </c>
      <c r="Q1" s="1" t="s">
        <v>333</v>
      </c>
      <c r="R1" s="1" t="s">
        <v>334</v>
      </c>
      <c r="S1" s="1" t="s">
        <v>335</v>
      </c>
      <c r="T1" s="1" t="s">
        <v>336</v>
      </c>
    </row>
    <row r="2" spans="1:20" x14ac:dyDescent="0.3">
      <c r="A2" t="s">
        <v>341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342</v>
      </c>
      <c r="B3">
        <v>215.1</v>
      </c>
      <c r="C3">
        <v>215.1</v>
      </c>
      <c r="D3">
        <v>4</v>
      </c>
      <c r="E3">
        <v>4</v>
      </c>
      <c r="F3">
        <v>4</v>
      </c>
      <c r="G3">
        <v>0</v>
      </c>
      <c r="H3">
        <v>14</v>
      </c>
      <c r="I3">
        <v>253</v>
      </c>
      <c r="J3">
        <v>102</v>
      </c>
      <c r="K3">
        <v>151</v>
      </c>
      <c r="L3">
        <v>40.299999999999997</v>
      </c>
      <c r="M3">
        <v>0</v>
      </c>
      <c r="N3">
        <v>0</v>
      </c>
      <c r="O3">
        <v>0</v>
      </c>
      <c r="P3">
        <v>0</v>
      </c>
      <c r="Q3">
        <v>253</v>
      </c>
      <c r="R3">
        <v>102</v>
      </c>
      <c r="S3">
        <v>151</v>
      </c>
      <c r="T3">
        <v>40.299999999999997</v>
      </c>
    </row>
    <row r="4" spans="1:20" x14ac:dyDescent="0.3">
      <c r="A4" t="s">
        <v>343</v>
      </c>
      <c r="B4">
        <v>252.74</v>
      </c>
      <c r="C4">
        <v>37.64</v>
      </c>
      <c r="D4">
        <v>0</v>
      </c>
      <c r="E4">
        <v>4</v>
      </c>
      <c r="F4">
        <v>0</v>
      </c>
      <c r="G4">
        <v>0</v>
      </c>
      <c r="H4">
        <v>0</v>
      </c>
      <c r="I4">
        <v>30</v>
      </c>
      <c r="J4">
        <v>27</v>
      </c>
      <c r="K4">
        <v>3</v>
      </c>
      <c r="L4">
        <v>90</v>
      </c>
      <c r="M4">
        <v>0</v>
      </c>
      <c r="N4">
        <v>0</v>
      </c>
      <c r="O4">
        <v>0</v>
      </c>
      <c r="P4">
        <v>0</v>
      </c>
      <c r="Q4">
        <v>30</v>
      </c>
      <c r="R4">
        <v>27</v>
      </c>
      <c r="S4">
        <v>3</v>
      </c>
      <c r="T4">
        <v>90</v>
      </c>
    </row>
    <row r="5" spans="1:20" x14ac:dyDescent="0.3">
      <c r="A5" t="s">
        <v>344</v>
      </c>
      <c r="B5">
        <v>399.9</v>
      </c>
      <c r="C5">
        <v>147.16</v>
      </c>
      <c r="D5">
        <v>3</v>
      </c>
      <c r="E5">
        <v>7</v>
      </c>
      <c r="F5">
        <v>0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345</v>
      </c>
      <c r="B6">
        <v>581.4</v>
      </c>
      <c r="C6">
        <v>181.5</v>
      </c>
      <c r="D6">
        <v>7</v>
      </c>
      <c r="E6">
        <v>14</v>
      </c>
      <c r="F6">
        <v>0</v>
      </c>
      <c r="G6">
        <v>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337</v>
      </c>
      <c r="B7">
        <v>2.62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9</v>
      </c>
      <c r="J7">
        <v>7</v>
      </c>
      <c r="K7">
        <v>2</v>
      </c>
      <c r="L7">
        <v>77.8</v>
      </c>
      <c r="M7">
        <v>0</v>
      </c>
      <c r="N7">
        <v>0</v>
      </c>
      <c r="O7">
        <v>0</v>
      </c>
      <c r="P7">
        <v>0</v>
      </c>
      <c r="Q7">
        <v>9</v>
      </c>
      <c r="R7">
        <v>7</v>
      </c>
      <c r="S7">
        <v>2</v>
      </c>
      <c r="T7">
        <v>77.8</v>
      </c>
    </row>
    <row r="8" spans="1:20" x14ac:dyDescent="0.3">
      <c r="A8" t="s">
        <v>338</v>
      </c>
      <c r="B8">
        <v>38.76</v>
      </c>
      <c r="C8">
        <v>36.14</v>
      </c>
      <c r="D8">
        <v>0</v>
      </c>
      <c r="E8">
        <v>0</v>
      </c>
      <c r="F8">
        <v>0</v>
      </c>
      <c r="G8">
        <v>0</v>
      </c>
      <c r="H8">
        <v>3</v>
      </c>
      <c r="I8">
        <v>18</v>
      </c>
      <c r="J8">
        <v>16</v>
      </c>
      <c r="K8">
        <v>2</v>
      </c>
      <c r="L8">
        <v>88.9</v>
      </c>
      <c r="M8">
        <v>0</v>
      </c>
      <c r="N8">
        <v>0</v>
      </c>
      <c r="O8">
        <v>0</v>
      </c>
      <c r="P8">
        <v>0</v>
      </c>
      <c r="Q8">
        <v>18</v>
      </c>
      <c r="R8">
        <v>16</v>
      </c>
      <c r="S8">
        <v>2</v>
      </c>
      <c r="T8">
        <v>88.9</v>
      </c>
    </row>
    <row r="9" spans="1:20" x14ac:dyDescent="0.3">
      <c r="A9" t="s">
        <v>339</v>
      </c>
      <c r="B9">
        <v>167.52</v>
      </c>
      <c r="C9">
        <v>128.76</v>
      </c>
      <c r="D9">
        <v>4</v>
      </c>
      <c r="E9">
        <v>4</v>
      </c>
      <c r="F9">
        <v>0</v>
      </c>
      <c r="G9">
        <v>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340</v>
      </c>
      <c r="B10">
        <v>185.78</v>
      </c>
      <c r="C10">
        <v>18.260000000000002</v>
      </c>
      <c r="D10">
        <v>0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20FB-A252-405D-BF6A-E906A0554ABE}">
  <dimension ref="A1:V24"/>
  <sheetViews>
    <sheetView zoomScale="70" zoomScaleNormal="70" workbookViewId="0">
      <selection activeCell="G25" sqref="G25"/>
    </sheetView>
  </sheetViews>
  <sheetFormatPr defaultRowHeight="14.4" x14ac:dyDescent="0.3"/>
  <cols>
    <col min="1" max="20" width="27.77734375" customWidth="1"/>
  </cols>
  <sheetData>
    <row r="1" spans="1:20" x14ac:dyDescent="0.3">
      <c r="A1" s="12" t="s">
        <v>346</v>
      </c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4" t="s">
        <v>8</v>
      </c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12"/>
      <c r="B2" s="2"/>
      <c r="C2" s="2" t="e">
        <f>AVERAGE(Orientation!A:A)</f>
        <v>#DIV/0!</v>
      </c>
      <c r="D2" s="2" t="e">
        <f>AVERAGE(Orientation!B:B)</f>
        <v>#DIV/0!</v>
      </c>
      <c r="E2" s="2" t="e">
        <f>AVERAGE(Orientation!C:C)</f>
        <v>#DIV/0!</v>
      </c>
      <c r="F2" s="2" t="e">
        <f>AVERAGE(Orientation!D:D)</f>
        <v>#DIV/0!</v>
      </c>
      <c r="G2" s="2" t="e">
        <f>AVERAGE(Orientation!E:E)</f>
        <v>#DIV/0!</v>
      </c>
      <c r="H2" s="2" t="e">
        <f>AVERAGE(Orientation!F:F)</f>
        <v>#DIV/0!</v>
      </c>
      <c r="I2" s="2" t="e">
        <f>AVERAGE(Orientation!G:G)</f>
        <v>#DIV/0!</v>
      </c>
      <c r="J2" s="2" t="e">
        <f>AVERAGE(Orientation!H:H)</f>
        <v>#DIV/0!</v>
      </c>
      <c r="K2" s="2" t="e">
        <f>AVERAGE(Orientation!I:I)</f>
        <v>#DIV/0!</v>
      </c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1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12" t="s">
        <v>347</v>
      </c>
      <c r="B4" s="2"/>
      <c r="C4" s="1" t="s">
        <v>0</v>
      </c>
      <c r="D4" s="1" t="s">
        <v>180</v>
      </c>
      <c r="E4" s="1" t="s">
        <v>181</v>
      </c>
      <c r="F4" s="1" t="s">
        <v>182</v>
      </c>
      <c r="G4" s="1" t="s">
        <v>183</v>
      </c>
      <c r="H4" s="1" t="s">
        <v>184</v>
      </c>
      <c r="I4" s="1" t="s">
        <v>185</v>
      </c>
      <c r="J4" s="1" t="s">
        <v>186</v>
      </c>
      <c r="K4" s="1" t="s">
        <v>187</v>
      </c>
      <c r="L4" s="1" t="s">
        <v>188</v>
      </c>
      <c r="M4" s="1" t="s">
        <v>7</v>
      </c>
      <c r="N4" s="1" t="s">
        <v>189</v>
      </c>
      <c r="O4" s="2"/>
      <c r="P4" s="2"/>
      <c r="Q4" s="2"/>
      <c r="R4" s="2"/>
      <c r="S4" s="2"/>
      <c r="T4" s="2"/>
    </row>
    <row r="5" spans="1:20" x14ac:dyDescent="0.3">
      <c r="A5" s="12"/>
      <c r="B5" s="2"/>
      <c r="C5" s="2" t="e">
        <f>AVERAGE(Trajectory!A:A)</f>
        <v>#DIV/0!</v>
      </c>
      <c r="D5" s="2">
        <f>AVERAGE(Trajectory!B:B)</f>
        <v>497.67506969696962</v>
      </c>
      <c r="E5" s="2">
        <f>AVERAGE(Trajectory!C:C)</f>
        <v>1.5667789909090912</v>
      </c>
      <c r="F5" s="2">
        <f>AVERAGE(Trajectory!D:D)</f>
        <v>0.97189313636363617</v>
      </c>
      <c r="G5" s="2">
        <f>AVERAGE(Trajectory!E:E)</f>
        <v>2.9231610303030298</v>
      </c>
      <c r="H5" s="2">
        <f>AVERAGE(Trajectory!F:F)</f>
        <v>10.51699803030303</v>
      </c>
      <c r="I5" s="2">
        <f>AVERAGE(Trajectory!G:G)</f>
        <v>0.36953408484848471</v>
      </c>
      <c r="J5" s="2">
        <f>AVERAGE(Trajectory!H:H)</f>
        <v>5.4995680303030303</v>
      </c>
      <c r="K5" s="2">
        <f>AVERAGE(Trajectory!I:I)</f>
        <v>17.883482999999998</v>
      </c>
      <c r="L5" s="2">
        <f>AVERAGE(Trajectory!J:J)</f>
        <v>8.6357814545454552</v>
      </c>
      <c r="M5" s="2">
        <f>AVERAGE(Trajectory!K:K)</f>
        <v>0.21212121212121213</v>
      </c>
      <c r="N5" s="2" t="e">
        <f>AVERAGE(Trajectory!L:L)</f>
        <v>#DIV/0!</v>
      </c>
      <c r="O5" s="2"/>
      <c r="P5" s="2"/>
      <c r="Q5" s="2"/>
      <c r="R5" s="2"/>
      <c r="S5" s="2"/>
      <c r="T5" s="2"/>
    </row>
    <row r="6" spans="1:20" x14ac:dyDescent="0.3">
      <c r="A6" s="1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3">
      <c r="A7" s="12" t="s">
        <v>348</v>
      </c>
      <c r="B7" s="2"/>
      <c r="C7" s="1" t="s">
        <v>0</v>
      </c>
      <c r="D7" s="1" t="s">
        <v>1</v>
      </c>
      <c r="E7" s="1" t="s">
        <v>8</v>
      </c>
      <c r="F7" s="1" t="s">
        <v>190</v>
      </c>
      <c r="G7" s="1" t="s">
        <v>191</v>
      </c>
      <c r="H7" s="1" t="s">
        <v>192</v>
      </c>
      <c r="I7" s="1" t="s">
        <v>193</v>
      </c>
      <c r="J7" s="1" t="s">
        <v>194</v>
      </c>
      <c r="K7" s="1" t="s">
        <v>195</v>
      </c>
      <c r="L7" s="1" t="s">
        <v>196</v>
      </c>
      <c r="M7" s="1" t="s">
        <v>197</v>
      </c>
      <c r="N7" s="1" t="s">
        <v>198</v>
      </c>
      <c r="O7" s="1" t="s">
        <v>199</v>
      </c>
      <c r="P7" s="1" t="s">
        <v>200</v>
      </c>
      <c r="Q7" s="1" t="s">
        <v>201</v>
      </c>
      <c r="R7" s="1" t="s">
        <v>202</v>
      </c>
      <c r="S7" s="2"/>
      <c r="T7" s="2"/>
    </row>
    <row r="8" spans="1:20" x14ac:dyDescent="0.3">
      <c r="A8" s="12"/>
      <c r="B8" s="2"/>
      <c r="C8" s="2">
        <f>AVERAGE(Landing!A:A)</f>
        <v>12.166666666666666</v>
      </c>
      <c r="D8" s="2" t="e">
        <f>AVERAGE(Landing!B:B)</f>
        <v>#DIV/0!</v>
      </c>
      <c r="E8" s="2" t="e">
        <f>AVERAGE(Landing!C:C)</f>
        <v>#DIV/0!</v>
      </c>
      <c r="F8" s="2">
        <f>AVERAGE(Landing!D:D)</f>
        <v>2.8526182366666664</v>
      </c>
      <c r="G8" s="2">
        <f>AVERAGE(Landing!E:E)</f>
        <v>-0.1071722813333333</v>
      </c>
      <c r="H8" s="2">
        <f>AVERAGE(Landing!F:F)</f>
        <v>3.6937306666666697E-2</v>
      </c>
      <c r="I8" s="2">
        <f>AVERAGE(Landing!G:G)</f>
        <v>0.89941829333333334</v>
      </c>
      <c r="J8" s="2">
        <f>AVERAGE(Landing!H:H)</f>
        <v>-10.616541966666666</v>
      </c>
      <c r="K8" s="2">
        <f>AVERAGE(Landing!I:I)</f>
        <v>0</v>
      </c>
      <c r="L8" s="2">
        <f>AVERAGE(Landing!J:J)</f>
        <v>0.23333333333333334</v>
      </c>
      <c r="M8" s="2">
        <f>AVERAGE(Landing!K:K)</f>
        <v>1.1979944463333336</v>
      </c>
      <c r="N8" s="2">
        <f>AVERAGE(Landing!L:L)</f>
        <v>0.62394914333333351</v>
      </c>
      <c r="O8" s="2">
        <f>AVERAGE(Landing!M:M)</f>
        <v>1.6189565166666666</v>
      </c>
      <c r="P8" s="2">
        <f>AVERAGE(Landing!N:N)</f>
        <v>0.33333333333333331</v>
      </c>
      <c r="Q8" s="2">
        <f>AVERAGE(Landing!O:O)</f>
        <v>0.26666666666666666</v>
      </c>
      <c r="R8" s="2" t="e">
        <f>AVERAGE(Landing!P:P)</f>
        <v>#DIV/0!</v>
      </c>
      <c r="S8" s="2"/>
      <c r="T8" s="2"/>
    </row>
    <row r="9" spans="1:20" x14ac:dyDescent="0.3">
      <c r="A9" s="1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3">
      <c r="A10" s="13" t="s">
        <v>349</v>
      </c>
      <c r="B10" s="5"/>
      <c r="C10" s="3" t="s">
        <v>0</v>
      </c>
      <c r="D10" s="3" t="s">
        <v>250</v>
      </c>
      <c r="E10" s="3" t="s">
        <v>251</v>
      </c>
      <c r="F10" s="3" t="s">
        <v>252</v>
      </c>
      <c r="G10" s="3" t="s">
        <v>253</v>
      </c>
      <c r="H10" s="3" t="s">
        <v>254</v>
      </c>
      <c r="I10" s="3" t="s">
        <v>255</v>
      </c>
      <c r="J10" s="3" t="s">
        <v>256</v>
      </c>
      <c r="K10" s="3" t="s">
        <v>257</v>
      </c>
      <c r="L10" s="3" t="s">
        <v>258</v>
      </c>
      <c r="M10" s="3" t="s">
        <v>259</v>
      </c>
      <c r="N10" s="3" t="s">
        <v>260</v>
      </c>
      <c r="O10" s="3" t="s">
        <v>261</v>
      </c>
      <c r="P10" s="3" t="s">
        <v>262</v>
      </c>
      <c r="Q10" s="3" t="s">
        <v>263</v>
      </c>
      <c r="R10" s="3" t="s">
        <v>315</v>
      </c>
      <c r="S10" s="5"/>
      <c r="T10" s="5"/>
    </row>
    <row r="11" spans="1:20" x14ac:dyDescent="0.3">
      <c r="A11" s="13"/>
      <c r="B11" s="5"/>
      <c r="C11" s="5" t="e">
        <f>AVERAGE(Jitter!A:A)</f>
        <v>#DIV/0!</v>
      </c>
      <c r="D11" s="5" t="e">
        <f>AVERAGE(Jitter!B:B)</f>
        <v>#DIV/0!</v>
      </c>
      <c r="E11" s="5" t="e">
        <f>AVERAGE(Jitter!C:C)</f>
        <v>#DIV/0!</v>
      </c>
      <c r="F11" s="5" t="e">
        <f>AVERAGE(Jitter!D:D)</f>
        <v>#DIV/0!</v>
      </c>
      <c r="G11" s="5" t="e">
        <f>AVERAGE(Jitter!E:E)</f>
        <v>#DIV/0!</v>
      </c>
      <c r="H11" s="5" t="e">
        <f>AVERAGE(Jitter!F:F)</f>
        <v>#DIV/0!</v>
      </c>
      <c r="I11" s="5" t="e">
        <f>AVERAGE(Jitter!G:G)</f>
        <v>#DIV/0!</v>
      </c>
      <c r="J11" s="5" t="e">
        <f>AVERAGE(Jitter!H:H)</f>
        <v>#DIV/0!</v>
      </c>
      <c r="K11" s="5" t="e">
        <f>AVERAGE(Jitter!I:I)</f>
        <v>#DIV/0!</v>
      </c>
      <c r="L11" s="5" t="e">
        <f>AVERAGE(Jitter!J:J)</f>
        <v>#DIV/0!</v>
      </c>
      <c r="M11" s="5" t="e">
        <f>AVERAGE(Jitter!K:K)</f>
        <v>#DIV/0!</v>
      </c>
      <c r="N11" s="5" t="e">
        <f>AVERAGE(Jitter!L:L)</f>
        <v>#DIV/0!</v>
      </c>
      <c r="O11" s="5" t="e">
        <f>AVERAGE(Jitter!M:M)</f>
        <v>#DIV/0!</v>
      </c>
      <c r="P11" s="5" t="e">
        <f>AVERAGE(Jitter!N:N)</f>
        <v>#DIV/0!</v>
      </c>
      <c r="Q11" s="5" t="e">
        <f>AVERAGE(Jitter!O:O)</f>
        <v>#DIV/0!</v>
      </c>
      <c r="R11" s="5" t="e">
        <f>AVERAGE(Jitter!P:P)</f>
        <v>#DIV/0!</v>
      </c>
      <c r="S11" s="5"/>
      <c r="T11" s="5"/>
    </row>
    <row r="12" spans="1:20" x14ac:dyDescent="0.3">
      <c r="A12" s="13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x14ac:dyDescent="0.3">
      <c r="A13" s="14" t="s">
        <v>350</v>
      </c>
      <c r="B13" s="6"/>
      <c r="C13" s="3" t="s">
        <v>284</v>
      </c>
      <c r="D13" s="3" t="s">
        <v>285</v>
      </c>
      <c r="E13" s="3" t="s">
        <v>303</v>
      </c>
      <c r="F13" s="3" t="s">
        <v>304</v>
      </c>
      <c r="G13" s="3" t="s">
        <v>305</v>
      </c>
      <c r="H13" s="3" t="s">
        <v>306</v>
      </c>
      <c r="I13" s="3" t="s">
        <v>307</v>
      </c>
      <c r="J13" s="3" t="s">
        <v>308</v>
      </c>
      <c r="K13" s="3" t="s">
        <v>309</v>
      </c>
      <c r="L13" s="3" t="s">
        <v>310</v>
      </c>
      <c r="M13" s="3" t="s">
        <v>311</v>
      </c>
      <c r="N13" s="3" t="s">
        <v>312</v>
      </c>
      <c r="O13" s="3" t="s">
        <v>351</v>
      </c>
      <c r="P13" s="3" t="s">
        <v>352</v>
      </c>
      <c r="Q13" s="3" t="s">
        <v>353</v>
      </c>
      <c r="R13" s="3" t="s">
        <v>354</v>
      </c>
      <c r="S13" s="3" t="s">
        <v>355</v>
      </c>
      <c r="T13" s="3" t="s">
        <v>356</v>
      </c>
    </row>
    <row r="14" spans="1:20" x14ac:dyDescent="0.3">
      <c r="A14" s="14"/>
      <c r="B14" s="6"/>
      <c r="C14" s="6" t="e">
        <f>AVERAGE(Movement!A:A)</f>
        <v>#DIV/0!</v>
      </c>
      <c r="D14" s="6">
        <f>AVERAGE(Movement!B:B)</f>
        <v>1.1764705882352942</v>
      </c>
      <c r="E14" s="6">
        <f>AVERAGE(Movement!C:C)</f>
        <v>0</v>
      </c>
      <c r="F14" s="6">
        <f>AVERAGE(Movement!D:D)</f>
        <v>2.0370588235294114</v>
      </c>
      <c r="G14" s="6">
        <f>AVERAGE(Movement!E:E)</f>
        <v>0.21547058823529414</v>
      </c>
      <c r="H14" s="6">
        <f>AVERAGE(Movement!F:F)</f>
        <v>4.7141117647058817</v>
      </c>
      <c r="I14" s="6">
        <f>AVERAGE(Movement!G:G)</f>
        <v>5.0899941176470582</v>
      </c>
      <c r="J14" s="6">
        <f>AVERAGE(Movement!H:H)</f>
        <v>4.2435823529411767</v>
      </c>
      <c r="K14" s="6">
        <f>AVERAGE(Movement!I:I)</f>
        <v>55.588235294117645</v>
      </c>
      <c r="L14" s="6">
        <f>AVERAGE(Movement!J:J)</f>
        <v>0.50470588235294123</v>
      </c>
      <c r="M14" s="6">
        <f>AVERAGE(Movement!K:K)</f>
        <v>0.35294117647058826</v>
      </c>
      <c r="N14" s="6">
        <f>AVERAGE(Movement!L:L)</f>
        <v>9.8235294117647065</v>
      </c>
      <c r="O14" s="6" t="e">
        <f>AVERAGE(Movement!M:M)</f>
        <v>#DIV/0!</v>
      </c>
      <c r="P14" s="6" t="e">
        <f>AVERAGE(Movement!N:N)</f>
        <v>#DIV/0!</v>
      </c>
      <c r="Q14" s="6" t="e">
        <f>AVERAGE(Movement!O:O)</f>
        <v>#DIV/0!</v>
      </c>
      <c r="R14" s="6" t="e">
        <f>AVERAGE(Movement!P:P)</f>
        <v>#DIV/0!</v>
      </c>
      <c r="S14" s="6" t="e">
        <f>AVERAGE(Movement!Q:Q)</f>
        <v>#DIV/0!</v>
      </c>
      <c r="T14" s="6" t="e">
        <f>AVERAGE(Movement!R:R)</f>
        <v>#DIV/0!</v>
      </c>
    </row>
    <row r="15" spans="1:20" x14ac:dyDescent="0.3">
      <c r="A15" s="1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x14ac:dyDescent="0.3">
      <c r="A16" s="14" t="s">
        <v>357</v>
      </c>
      <c r="B16" s="6"/>
      <c r="C16" s="3" t="s">
        <v>284</v>
      </c>
      <c r="D16" s="3" t="s">
        <v>0</v>
      </c>
      <c r="E16" s="3" t="s">
        <v>285</v>
      </c>
      <c r="F16" s="3" t="s">
        <v>286</v>
      </c>
      <c r="G16" s="3" t="s">
        <v>287</v>
      </c>
      <c r="H16" s="3" t="s">
        <v>288</v>
      </c>
      <c r="I16" s="3" t="s">
        <v>289</v>
      </c>
      <c r="J16" s="3" t="s">
        <v>290</v>
      </c>
      <c r="K16" s="3" t="s">
        <v>291</v>
      </c>
      <c r="L16" s="3" t="s">
        <v>292</v>
      </c>
      <c r="M16" s="3" t="s">
        <v>293</v>
      </c>
      <c r="N16" s="3" t="s">
        <v>294</v>
      </c>
      <c r="O16" s="3" t="s">
        <v>295</v>
      </c>
      <c r="P16" s="3" t="s">
        <v>296</v>
      </c>
      <c r="Q16" s="3" t="s">
        <v>297</v>
      </c>
      <c r="R16" s="3" t="s">
        <v>298</v>
      </c>
      <c r="S16" s="3" t="s">
        <v>299</v>
      </c>
      <c r="T16" s="3" t="s">
        <v>300</v>
      </c>
    </row>
    <row r="17" spans="1:22" x14ac:dyDescent="0.3">
      <c r="A17" s="14"/>
      <c r="B17" s="6"/>
      <c r="C17" s="6" t="e">
        <f>AVERAGE(Obstacle!A:A)</f>
        <v>#DIV/0!</v>
      </c>
      <c r="D17" s="6">
        <f>AVERAGE(Obstacle!B:B)</f>
        <v>4</v>
      </c>
      <c r="E17" s="6">
        <f>AVERAGE(Obstacle!C:C)</f>
        <v>4</v>
      </c>
      <c r="F17" s="6">
        <f>AVERAGE(Obstacle!D:D)</f>
        <v>4</v>
      </c>
      <c r="G17" s="6">
        <f>AVERAGE(Obstacle!E:E)</f>
        <v>90.163333333333341</v>
      </c>
      <c r="H17" s="6">
        <f>AVERAGE(Obstacle!F:F)</f>
        <v>91.228333333333339</v>
      </c>
      <c r="I17" s="6">
        <f>AVERAGE(Obstacle!G:G)</f>
        <v>1.0649999999999997</v>
      </c>
      <c r="J17" s="6">
        <f>AVERAGE(Obstacle!H:H)</f>
        <v>0.83333333333333337</v>
      </c>
      <c r="K17" s="6">
        <f>AVERAGE(Obstacle!I:I)</f>
        <v>0.33333333333333331</v>
      </c>
      <c r="L17" s="6">
        <f>AVERAGE(Obstacle!J:J)</f>
        <v>3.9166666666666669E-2</v>
      </c>
      <c r="M17" s="6">
        <f>AVERAGE(Obstacle!K:K)</f>
        <v>0.83333333333333337</v>
      </c>
      <c r="N17" s="6">
        <f>AVERAGE(Obstacle!L:L)</f>
        <v>-0.3216666666666666</v>
      </c>
      <c r="O17" s="6">
        <f>AVERAGE(Obstacle!M:M)</f>
        <v>0.19642916666666665</v>
      </c>
      <c r="P17" s="6">
        <f>AVERAGE(Obstacle!N:N)</f>
        <v>0.12432916666666667</v>
      </c>
      <c r="Q17" s="6">
        <f>AVERAGE(Obstacle!O:O)</f>
        <v>0.7362333333333333</v>
      </c>
      <c r="R17" s="6">
        <f>AVERAGE(Obstacle!P:P)</f>
        <v>78.743600000000001</v>
      </c>
      <c r="S17" s="6">
        <f>AVERAGE(Obstacle!Q:Q)</f>
        <v>1.9480791666666664</v>
      </c>
      <c r="T17" s="6">
        <f>AVERAGE(Obstacle!R:R)</f>
        <v>26.16513333333333</v>
      </c>
    </row>
    <row r="18" spans="1:22" x14ac:dyDescent="0.3">
      <c r="A18" s="14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2" x14ac:dyDescent="0.3">
      <c r="A19" s="10" t="s">
        <v>358</v>
      </c>
      <c r="B19" s="7"/>
      <c r="C19" s="1" t="s">
        <v>0</v>
      </c>
      <c r="D19" s="1" t="s">
        <v>241</v>
      </c>
      <c r="E19" s="1" t="s">
        <v>242</v>
      </c>
      <c r="F19" s="1" t="s">
        <v>243</v>
      </c>
      <c r="G19" s="1" t="s">
        <v>244</v>
      </c>
      <c r="H19" s="1" t="s">
        <v>245</v>
      </c>
      <c r="I19" s="1" t="s">
        <v>246</v>
      </c>
      <c r="J19" s="1" t="s">
        <v>247</v>
      </c>
      <c r="K19" s="1" t="s">
        <v>248</v>
      </c>
      <c r="L19" s="1" t="s">
        <v>249</v>
      </c>
      <c r="M19" s="7"/>
      <c r="N19" s="7"/>
      <c r="O19" s="7"/>
      <c r="P19" s="7"/>
      <c r="Q19" s="7"/>
      <c r="R19" s="7"/>
      <c r="S19" s="7"/>
      <c r="T19" s="7"/>
    </row>
    <row r="20" spans="1:22" x14ac:dyDescent="0.3">
      <c r="A20" s="10"/>
      <c r="B20" s="7"/>
      <c r="C20" s="7">
        <f>AVERAGE(Multitasking!A:A)</f>
        <v>13</v>
      </c>
      <c r="D20" s="7">
        <f>AVERAGE(Multitasking!B:B)</f>
        <v>1</v>
      </c>
      <c r="E20" s="7">
        <f>AVERAGE(Multitasking!C:C)</f>
        <v>11.7974</v>
      </c>
      <c r="F20" s="7">
        <f>AVERAGE(Multitasking!D:D)</f>
        <v>23.613533333333329</v>
      </c>
      <c r="G20" s="7">
        <f>AVERAGE(Multitasking!E:E)</f>
        <v>0.49426666666666663</v>
      </c>
      <c r="H20" s="7">
        <f>AVERAGE(Multitasking!F:F)</f>
        <v>0.93333333333333335</v>
      </c>
      <c r="I20" s="7">
        <f>AVERAGE(Multitasking!G:G)</f>
        <v>7.7123533333333318</v>
      </c>
      <c r="J20" s="7">
        <f>AVERAGE(Multitasking!H:H)</f>
        <v>3.9873000000000003</v>
      </c>
      <c r="K20" s="7">
        <f>AVERAGE(Multitasking!I:I)</f>
        <v>2.0566733333333334</v>
      </c>
      <c r="L20" s="7">
        <f>AVERAGE(Multitasking!J:J)</f>
        <v>0.1232</v>
      </c>
      <c r="M20" s="7"/>
      <c r="N20" s="7"/>
      <c r="O20" s="7"/>
      <c r="P20" s="7"/>
      <c r="Q20" s="7"/>
      <c r="R20" s="7"/>
      <c r="S20" s="7"/>
      <c r="T20" s="7"/>
    </row>
    <row r="21" spans="1:22" x14ac:dyDescent="0.3">
      <c r="A21" s="10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2" x14ac:dyDescent="0.3">
      <c r="A22" s="11" t="s">
        <v>359</v>
      </c>
      <c r="B22" s="8"/>
      <c r="C22" s="1" t="s">
        <v>317</v>
      </c>
      <c r="D22" s="1" t="s">
        <v>318</v>
      </c>
      <c r="E22" s="1" t="s">
        <v>319</v>
      </c>
      <c r="F22" s="1" t="s">
        <v>320</v>
      </c>
      <c r="G22" s="1" t="s">
        <v>321</v>
      </c>
      <c r="H22" s="1" t="s">
        <v>322</v>
      </c>
      <c r="I22" s="1" t="s">
        <v>323</v>
      </c>
      <c r="J22" s="1" t="s">
        <v>324</v>
      </c>
      <c r="K22" s="1" t="s">
        <v>325</v>
      </c>
      <c r="L22" s="1" t="s">
        <v>326</v>
      </c>
      <c r="M22" s="1" t="s">
        <v>327</v>
      </c>
      <c r="N22" s="1" t="s">
        <v>328</v>
      </c>
      <c r="O22" s="1" t="s">
        <v>329</v>
      </c>
      <c r="P22" s="1" t="s">
        <v>330</v>
      </c>
      <c r="Q22" s="1" t="s">
        <v>331</v>
      </c>
      <c r="R22" s="1" t="s">
        <v>332</v>
      </c>
      <c r="S22" s="1" t="s">
        <v>333</v>
      </c>
      <c r="T22" s="1" t="s">
        <v>334</v>
      </c>
      <c r="U22" s="1" t="s">
        <v>335</v>
      </c>
      <c r="V22" s="1" t="s">
        <v>336</v>
      </c>
    </row>
    <row r="23" spans="1:22" x14ac:dyDescent="0.3">
      <c r="A23" s="11"/>
      <c r="B23" s="8"/>
      <c r="C23" s="8" t="e">
        <f>AVERAGE([1]GeneralStats!A:A)</f>
        <v>#DIV/0!</v>
      </c>
      <c r="D23" s="8">
        <f>AVERAGE([1]GeneralStats!B:B)</f>
        <v>242.44181818181815</v>
      </c>
      <c r="E23" s="8">
        <f>AVERAGE([1]GeneralStats!C:C)</f>
        <v>101.02545454545454</v>
      </c>
      <c r="F23" s="8">
        <f>AVERAGE([1]GeneralStats!D:D)</f>
        <v>2.5454545454545454</v>
      </c>
      <c r="G23" s="8">
        <f>AVERAGE([1]GeneralStats!E:E)</f>
        <v>5.2727272727272725</v>
      </c>
      <c r="H23" s="8">
        <f>AVERAGE([1]GeneralStats!F:F)</f>
        <v>0.18181818181818182</v>
      </c>
      <c r="I23" s="8">
        <f>AVERAGE([1]GeneralStats!G:G)</f>
        <v>2.3636363636363638</v>
      </c>
      <c r="J23" s="8">
        <f>AVERAGE([1]GeneralStats!H:H)</f>
        <v>1.9090909090909092</v>
      </c>
      <c r="K23" s="8">
        <f>AVERAGE([1]GeneralStats!I:I)</f>
        <v>23.636363636363637</v>
      </c>
      <c r="L23" s="8">
        <f>AVERAGE([1]GeneralStats!J:J)</f>
        <v>12.090909090909092</v>
      </c>
      <c r="M23" s="8">
        <f>AVERAGE([1]GeneralStats!K:K)</f>
        <v>11.545454545454545</v>
      </c>
      <c r="N23" s="8">
        <f>AVERAGE([1]GeneralStats!L:L)</f>
        <v>19.454545454545453</v>
      </c>
      <c r="O23" s="8">
        <f>AVERAGE([1]GeneralStats!M:M)</f>
        <v>2.9090909090909092</v>
      </c>
      <c r="P23" s="8">
        <f>AVERAGE([1]GeneralStats!N:N)</f>
        <v>1.1818181818181819</v>
      </c>
      <c r="Q23" s="8">
        <f>AVERAGE([1]GeneralStats!O:O)</f>
        <v>1.7272727272727273</v>
      </c>
      <c r="R23" s="8">
        <f>AVERAGE([1]GeneralStats!P:P)</f>
        <v>6.7909090909090901</v>
      </c>
      <c r="S23" s="8">
        <f>AVERAGE([1]GeneralStats!Q:Q)</f>
        <v>26.545454545454547</v>
      </c>
      <c r="T23" s="8">
        <f>AVERAGE([1]GeneralStats!R:R)</f>
        <v>13.272727272727273</v>
      </c>
      <c r="U23" s="8">
        <f>AVERAGE([1]GeneralStats!S:S)</f>
        <v>13.272727272727273</v>
      </c>
      <c r="V23" s="8">
        <f>AVERAGE([1]GeneralStats!T:T)</f>
        <v>18.281818181818185</v>
      </c>
    </row>
    <row r="24" spans="1:22" x14ac:dyDescent="0.3">
      <c r="A24" s="11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</sheetData>
  <mergeCells count="8">
    <mergeCell ref="A19:A21"/>
    <mergeCell ref="A22:A24"/>
    <mergeCell ref="A1:A3"/>
    <mergeCell ref="A4:A6"/>
    <mergeCell ref="A7:A9"/>
    <mergeCell ref="A10:A12"/>
    <mergeCell ref="A13:A15"/>
    <mergeCell ref="A16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Orientation</vt:lpstr>
      <vt:lpstr>Trajectory</vt:lpstr>
      <vt:lpstr>Landing</vt:lpstr>
      <vt:lpstr>Multitasking</vt:lpstr>
      <vt:lpstr>Jitter</vt:lpstr>
      <vt:lpstr>Obstacle</vt:lpstr>
      <vt:lpstr>Movement</vt:lpstr>
      <vt:lpstr>GeneralStats</vt:lpstr>
      <vt:lpstr>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2026-01-13T05:43:55Z</dcterms:created>
  <dcterms:modified xsi:type="dcterms:W3CDTF">2026-01-26T08:45:00Z</dcterms:modified>
</cp:coreProperties>
</file>