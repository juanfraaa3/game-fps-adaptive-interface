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Pillar\Comparations\comparative_multitasking\"/>
    </mc:Choice>
  </mc:AlternateContent>
  <xr:revisionPtr revIDLastSave="0" documentId="13_ncr:1_{47C4E488-BDE9-4CEF-B9FB-F670C8B91B46}" xr6:coauthVersionLast="47" xr6:coauthVersionMax="47" xr10:uidLastSave="{00000000-0000-0000-0000-000000000000}"/>
  <bookViews>
    <workbookView xWindow="-108" yWindow="-108" windowWidth="23256" windowHeight="13176" xr2:uid="{C828694B-655B-4949-B47C-2548942CD83C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H29" i="1"/>
  <c r="G29" i="1"/>
  <c r="F29" i="1"/>
  <c r="E29" i="1"/>
  <c r="D29" i="1"/>
  <c r="C29" i="1"/>
  <c r="B29" i="1"/>
  <c r="I28" i="1"/>
  <c r="H28" i="1"/>
  <c r="G28" i="1"/>
  <c r="F28" i="1"/>
  <c r="E28" i="1"/>
  <c r="D28" i="1"/>
  <c r="C28" i="1"/>
  <c r="B28" i="1"/>
  <c r="I27" i="1"/>
  <c r="H27" i="1"/>
  <c r="G27" i="1"/>
  <c r="F27" i="1"/>
  <c r="E27" i="1"/>
  <c r="D27" i="1"/>
  <c r="C27" i="1"/>
  <c r="B27" i="1"/>
  <c r="I26" i="1"/>
  <c r="H26" i="1"/>
  <c r="G26" i="1"/>
  <c r="F26" i="1"/>
  <c r="E26" i="1"/>
  <c r="D26" i="1"/>
  <c r="C26" i="1"/>
  <c r="B26" i="1"/>
  <c r="I25" i="1"/>
  <c r="H25" i="1"/>
  <c r="G25" i="1"/>
  <c r="F25" i="1"/>
  <c r="E25" i="1"/>
  <c r="D25" i="1"/>
  <c r="C25" i="1"/>
  <c r="B25" i="1"/>
  <c r="I24" i="1"/>
  <c r="H24" i="1"/>
  <c r="G24" i="1"/>
  <c r="F24" i="1"/>
  <c r="E24" i="1"/>
  <c r="D24" i="1"/>
  <c r="C24" i="1"/>
  <c r="B24" i="1"/>
  <c r="I23" i="1"/>
  <c r="H23" i="1"/>
  <c r="G23" i="1"/>
  <c r="F23" i="1"/>
  <c r="E23" i="1"/>
  <c r="D23" i="1"/>
  <c r="C23" i="1"/>
  <c r="B23" i="1"/>
  <c r="I22" i="1"/>
  <c r="H22" i="1"/>
  <c r="G22" i="1"/>
  <c r="F22" i="1"/>
  <c r="E22" i="1"/>
  <c r="D22" i="1"/>
  <c r="C22" i="1"/>
  <c r="B22" i="1"/>
  <c r="I21" i="1"/>
  <c r="H21" i="1"/>
  <c r="G21" i="1"/>
  <c r="F21" i="1"/>
  <c r="E21" i="1"/>
  <c r="D21" i="1"/>
  <c r="C21" i="1"/>
  <c r="B21" i="1"/>
  <c r="I20" i="1"/>
  <c r="H20" i="1"/>
  <c r="G20" i="1"/>
  <c r="F20" i="1"/>
  <c r="E20" i="1"/>
  <c r="D20" i="1"/>
  <c r="C20" i="1"/>
  <c r="B20" i="1"/>
  <c r="I19" i="1"/>
  <c r="H19" i="1"/>
  <c r="G19" i="1"/>
  <c r="F19" i="1"/>
  <c r="E19" i="1"/>
  <c r="D19" i="1"/>
  <c r="C19" i="1"/>
  <c r="B19" i="1"/>
  <c r="I18" i="1"/>
  <c r="H18" i="1"/>
  <c r="G18" i="1"/>
  <c r="F18" i="1"/>
  <c r="E18" i="1"/>
  <c r="D18" i="1"/>
  <c r="C18" i="1"/>
  <c r="B18" i="1"/>
  <c r="I15" i="1"/>
  <c r="H15" i="1"/>
  <c r="G15" i="1"/>
  <c r="F15" i="1"/>
  <c r="E15" i="1"/>
  <c r="D15" i="1"/>
  <c r="C15" i="1"/>
  <c r="B15" i="1"/>
  <c r="I14" i="1"/>
  <c r="H14" i="1"/>
  <c r="G14" i="1"/>
  <c r="F14" i="1"/>
  <c r="E14" i="1"/>
  <c r="D14" i="1"/>
  <c r="C14" i="1"/>
  <c r="B14" i="1"/>
  <c r="I13" i="1"/>
  <c r="H13" i="1"/>
  <c r="G13" i="1"/>
  <c r="F13" i="1"/>
  <c r="E13" i="1"/>
  <c r="D13" i="1"/>
  <c r="C13" i="1"/>
  <c r="B13" i="1"/>
  <c r="I12" i="1"/>
  <c r="H12" i="1"/>
  <c r="G12" i="1"/>
  <c r="F12" i="1"/>
  <c r="E12" i="1"/>
  <c r="D12" i="1"/>
  <c r="C12" i="1"/>
  <c r="B12" i="1"/>
  <c r="I11" i="1"/>
  <c r="H11" i="1"/>
  <c r="G11" i="1"/>
  <c r="F11" i="1"/>
  <c r="E11" i="1"/>
  <c r="D11" i="1"/>
  <c r="C11" i="1"/>
  <c r="B11" i="1"/>
  <c r="I10" i="1"/>
  <c r="H10" i="1"/>
  <c r="G10" i="1"/>
  <c r="F10" i="1"/>
  <c r="E10" i="1"/>
  <c r="D10" i="1"/>
  <c r="C10" i="1"/>
  <c r="B10" i="1"/>
  <c r="I7" i="1"/>
  <c r="H7" i="1"/>
  <c r="G7" i="1"/>
  <c r="F7" i="1"/>
  <c r="E7" i="1"/>
  <c r="D7" i="1"/>
  <c r="C7" i="1"/>
  <c r="B7" i="1"/>
  <c r="I6" i="1"/>
  <c r="H6" i="1"/>
  <c r="G6" i="1"/>
  <c r="F6" i="1"/>
  <c r="E6" i="1"/>
  <c r="D6" i="1"/>
  <c r="C6" i="1"/>
  <c r="B6" i="1"/>
  <c r="I5" i="1"/>
  <c r="H5" i="1"/>
  <c r="G5" i="1"/>
  <c r="F5" i="1"/>
  <c r="E5" i="1"/>
  <c r="D5" i="1"/>
  <c r="C5" i="1"/>
  <c r="B5" i="1"/>
  <c r="I4" i="1"/>
  <c r="H4" i="1"/>
  <c r="G4" i="1"/>
  <c r="F4" i="1"/>
  <c r="E4" i="1"/>
  <c r="D4" i="1"/>
  <c r="C4" i="1"/>
  <c r="B4" i="1"/>
  <c r="I3" i="1"/>
  <c r="H3" i="1"/>
  <c r="G3" i="1"/>
  <c r="F3" i="1"/>
  <c r="E3" i="1"/>
  <c r="D3" i="1"/>
  <c r="C3" i="1"/>
  <c r="B3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<sst xmlns="http://schemas.openxmlformats.org/spreadsheetml/2006/main" count="48" uniqueCount="38">
  <si>
    <t>Jugador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</si>
  <si>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</si>
  <si>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</si>
  <si>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</si>
  <si>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</si>
  <si>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</si>
  <si>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</si>
  <si>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</si>
  <si>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</si>
  <si>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AbandonoPilar</t>
  </si>
  <si>
    <t>Jug1_base_expert</t>
  </si>
  <si>
    <t>Jug2_base_noob</t>
  </si>
  <si>
    <t>Jug3_base_regular</t>
  </si>
  <si>
    <t>Jug4_base_noob</t>
  </si>
  <si>
    <t>Jug5_base_noob</t>
  </si>
  <si>
    <t>Jug6_base_noob</t>
  </si>
  <si>
    <t>Jug7_base_regular</t>
  </si>
  <si>
    <t>Jug8_base_regular</t>
  </si>
  <si>
    <t>Jug9_base_noob</t>
  </si>
  <si>
    <t>Jug10_base_regular</t>
  </si>
  <si>
    <t>Jug11_base_expert</t>
  </si>
  <si>
    <t>Jug12_base_expert</t>
  </si>
  <si>
    <t>Jug13_base_regular</t>
  </si>
  <si>
    <t>Jug14_base_noob</t>
  </si>
  <si>
    <t>Jug1_adap_noob</t>
  </si>
  <si>
    <t>Jug2_adap_expert</t>
  </si>
  <si>
    <t>Jug3_adap_noob</t>
  </si>
  <si>
    <t>Jug4_adap_noob</t>
  </si>
  <si>
    <t>Jug5_adap_regular</t>
  </si>
  <si>
    <t>Jug6_adap_noob</t>
  </si>
  <si>
    <t>Jug7_adap_regular</t>
  </si>
  <si>
    <t>Jug8_adap_noob</t>
  </si>
  <si>
    <t>Jug9_adap_regular</t>
  </si>
  <si>
    <t>Jug10_adap_regular</t>
  </si>
  <si>
    <t>Jug11_adap_expert</t>
  </si>
  <si>
    <t>Jug12_adap_noob</t>
  </si>
  <si>
    <t>Jug13_adap_regular</t>
  </si>
  <si>
    <t>Jug14_adap_expert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</si>
</sst>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anes\adaptative_microgame\Assets\FPS\Scripts\RegistersPerPillar\Multitasking.xlsx" TargetMode="External"/><Relationship Id="rId1" Type="http://schemas.openxmlformats.org/officeDocument/2006/relationships/externalLinkPath" Target="/Users/Juanes/adaptative_microgame/Assets/FPS/Scripts/RegistersPerPillar/Multitaski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anes\adaptative_microgame\Assets\FPS\Scripts\RegistersPerPillar\Adaptive\adap_Multitasking.xlsx" TargetMode="External"/><Relationship Id="rId1" Type="http://schemas.openxmlformats.org/officeDocument/2006/relationships/externalLinkPath" Target="/Users/Juanes/adaptative_microgame/Assets/FPS/Scripts/RegistersPerPillar/Adaptive/adap_Multitas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exVargas"/>
      <sheetName val="AntoFlores"/>
      <sheetName val="BenjaCarrasco"/>
      <sheetName val="CamilaCarrascoBaier"/>
      <sheetName val="CataAguilar"/>
      <sheetName val="DiegoContreras"/>
      <sheetName val="FranPerez"/>
      <sheetName val="JoaquinAguilar"/>
      <sheetName val="LourdesArtigas"/>
      <sheetName val="Pantrucas"/>
      <sheetName val="Sepumae"/>
      <sheetName val="VicenteFigueroa"/>
      <sheetName val="VicenteHernandez"/>
      <sheetName val="VicenteLineros"/>
      <sheetName val="yoelchupa"/>
      <sheetName val="Thersholds"/>
    </sheetNames>
    <sheetDataSet>
      <sheetData sheetId="0">
        <row r="1">
          <cell r="C1" t="str">
            <v>LapDuration_s</v>
          </cell>
          <cell r="D1" t="str">
            <v>AttemptDuration_s</v>
          </cell>
          <cell r="E1" t="str">
            <v>LapProgress_0_1</v>
          </cell>
          <cell r="F1" t="str">
            <v>DeathOccurred</v>
          </cell>
          <cell r="G1" t="str">
            <v>MeanDeviation_m</v>
          </cell>
          <cell r="H1" t="str">
            <v>SpeedSD_mps</v>
          </cell>
          <cell r="I1" t="str">
            <v>MicroCorrectionsRate_per_s</v>
          </cell>
          <cell r="J1" t="str">
            <v>ObstacleHitRate</v>
          </cell>
        </row>
        <row r="2">
          <cell r="C2">
            <v>6.742</v>
          </cell>
          <cell r="D2">
            <v>38.14</v>
          </cell>
          <cell r="E2">
            <v>0.314</v>
          </cell>
          <cell r="F2">
            <v>1</v>
          </cell>
          <cell r="G2">
            <v>12.3855</v>
          </cell>
          <cell r="H2">
            <v>5.0030000000000001</v>
          </cell>
          <cell r="I2">
            <v>4.4497999999999998</v>
          </cell>
          <cell r="J2">
            <v>0</v>
          </cell>
        </row>
        <row r="3">
          <cell r="C3">
            <v>11.358000000000001</v>
          </cell>
          <cell r="D3">
            <v>22.716000000000001</v>
          </cell>
          <cell r="E3">
            <v>0.41599999999999998</v>
          </cell>
          <cell r="F3">
            <v>1</v>
          </cell>
          <cell r="G3">
            <v>8.9896999999999991</v>
          </cell>
          <cell r="H3">
            <v>4.3270999999999997</v>
          </cell>
          <cell r="I3">
            <v>5.6348000000000003</v>
          </cell>
          <cell r="J3">
            <v>7.6999999999999999E-2</v>
          </cell>
        </row>
        <row r="4">
          <cell r="C4">
            <v>23.696000000000002</v>
          </cell>
          <cell r="D4">
            <v>33.238</v>
          </cell>
          <cell r="E4">
            <v>0.81200000000000006</v>
          </cell>
          <cell r="F4">
            <v>1</v>
          </cell>
          <cell r="G4">
            <v>12.0159</v>
          </cell>
          <cell r="H4">
            <v>4.9016999999999999</v>
          </cell>
          <cell r="I4">
            <v>6.4566999999999997</v>
          </cell>
          <cell r="J4">
            <v>0.38500000000000001</v>
          </cell>
        </row>
        <row r="5">
          <cell r="C5">
            <v>26.327999999999999</v>
          </cell>
          <cell r="D5">
            <v>37.671999999999997</v>
          </cell>
          <cell r="E5">
            <v>0.996</v>
          </cell>
          <cell r="F5">
            <v>1</v>
          </cell>
          <cell r="G5">
            <v>9.7904999999999998</v>
          </cell>
          <cell r="H5">
            <v>5.2742000000000004</v>
          </cell>
          <cell r="I5">
            <v>5.3175999999999997</v>
          </cell>
          <cell r="J5">
            <v>0.23100000000000001</v>
          </cell>
        </row>
      </sheetData>
      <sheetData sheetId="1">
        <row r="1">
          <cell r="C1" t="str">
            <v>LapDuration_s</v>
          </cell>
          <cell r="D1" t="str">
            <v>AttemptDuration_s</v>
          </cell>
          <cell r="E1" t="str">
            <v>LapProgress_0_1</v>
          </cell>
          <cell r="F1" t="str">
            <v>DeathOccurred</v>
          </cell>
          <cell r="G1" t="str">
            <v>MeanDeviation_m</v>
          </cell>
          <cell r="H1" t="str">
            <v>SpeedSD_mps</v>
          </cell>
          <cell r="I1" t="str">
            <v>MicroCorrectionsRate_per_s</v>
          </cell>
          <cell r="J1" t="str">
            <v>ObstacleHitRate</v>
          </cell>
        </row>
        <row r="2">
          <cell r="C2">
            <v>17.501999999999999</v>
          </cell>
          <cell r="D2">
            <v>85.713999999999999</v>
          </cell>
          <cell r="E2">
            <v>0.60299999999999998</v>
          </cell>
          <cell r="F2">
            <v>1</v>
          </cell>
          <cell r="G2">
            <v>8.7849000000000004</v>
          </cell>
          <cell r="H2">
            <v>4.8765000000000001</v>
          </cell>
          <cell r="I2">
            <v>0.51419999999999999</v>
          </cell>
          <cell r="J2">
            <v>0.154</v>
          </cell>
        </row>
        <row r="3">
          <cell r="C3">
            <v>25.96</v>
          </cell>
          <cell r="D3">
            <v>36.177999999999997</v>
          </cell>
          <cell r="E3">
            <v>1</v>
          </cell>
          <cell r="F3">
            <v>0</v>
          </cell>
          <cell r="G3">
            <v>9.4946000000000002</v>
          </cell>
          <cell r="H3">
            <v>4.6231999999999998</v>
          </cell>
          <cell r="I3">
            <v>1.4253</v>
          </cell>
          <cell r="J3">
            <v>0.38500000000000001</v>
          </cell>
        </row>
        <row r="4">
          <cell r="C4">
            <v>14.028</v>
          </cell>
          <cell r="D4">
            <v>64.126000000000005</v>
          </cell>
          <cell r="E4">
            <v>0.57699999999999996</v>
          </cell>
          <cell r="F4">
            <v>1</v>
          </cell>
          <cell r="G4">
            <v>8.5578000000000003</v>
          </cell>
          <cell r="H4">
            <v>2.7801999999999998</v>
          </cell>
          <cell r="I4">
            <v>7.1300000000000002E-2</v>
          </cell>
          <cell r="J4">
            <v>0</v>
          </cell>
        </row>
        <row r="5">
          <cell r="C5">
            <v>24.292999999999999</v>
          </cell>
          <cell r="D5">
            <v>37.825000000000003</v>
          </cell>
          <cell r="E5">
            <v>0.80900000000000005</v>
          </cell>
          <cell r="F5">
            <v>1</v>
          </cell>
          <cell r="G5">
            <v>9.0844000000000005</v>
          </cell>
          <cell r="H5">
            <v>4.8384999999999998</v>
          </cell>
          <cell r="I5">
            <v>1.3996</v>
          </cell>
          <cell r="J5">
            <v>0.46200000000000002</v>
          </cell>
        </row>
        <row r="6">
          <cell r="C6">
            <v>18.981000000000002</v>
          </cell>
          <cell r="D6">
            <v>31.228000000000002</v>
          </cell>
          <cell r="E6">
            <v>0.64700000000000002</v>
          </cell>
          <cell r="F6">
            <v>1</v>
          </cell>
          <cell r="G6">
            <v>8.0471000000000004</v>
          </cell>
          <cell r="H6">
            <v>4.2629999999999999</v>
          </cell>
          <cell r="I6">
            <v>1.4225000000000001</v>
          </cell>
          <cell r="J6">
            <v>0.23100000000000001</v>
          </cell>
        </row>
        <row r="7">
          <cell r="C7">
            <v>16.056999999999999</v>
          </cell>
          <cell r="D7">
            <v>26.856999999999999</v>
          </cell>
          <cell r="E7">
            <v>0.60599999999999998</v>
          </cell>
          <cell r="F7">
            <v>1</v>
          </cell>
          <cell r="G7">
            <v>10.0321</v>
          </cell>
          <cell r="H7">
            <v>4.7205000000000004</v>
          </cell>
          <cell r="I7">
            <v>1.8061</v>
          </cell>
          <cell r="J7">
            <v>0.23100000000000001</v>
          </cell>
        </row>
        <row r="8">
          <cell r="C8">
            <v>25.643000000000001</v>
          </cell>
          <cell r="D8">
            <v>35.886000000000003</v>
          </cell>
          <cell r="E8">
            <v>1</v>
          </cell>
          <cell r="F8">
            <v>1</v>
          </cell>
          <cell r="G8">
            <v>9.9943000000000008</v>
          </cell>
          <cell r="H8">
            <v>4.5197000000000003</v>
          </cell>
          <cell r="I8">
            <v>3.1198000000000001</v>
          </cell>
          <cell r="J8">
            <v>0.38500000000000001</v>
          </cell>
        </row>
        <row r="9">
          <cell r="C9">
            <v>38.161999999999999</v>
          </cell>
          <cell r="D9">
            <v>49.999000000000002</v>
          </cell>
          <cell r="E9">
            <v>0.76</v>
          </cell>
          <cell r="F9">
            <v>1</v>
          </cell>
          <cell r="G9">
            <v>17.3157</v>
          </cell>
          <cell r="H9">
            <v>6.9081999999999999</v>
          </cell>
          <cell r="I9">
            <v>1.3626</v>
          </cell>
          <cell r="J9">
            <v>0.38500000000000001</v>
          </cell>
        </row>
        <row r="10">
          <cell r="C10">
            <v>25.395</v>
          </cell>
          <cell r="D10">
            <v>38.853000000000002</v>
          </cell>
          <cell r="E10">
            <v>0.76</v>
          </cell>
          <cell r="F10">
            <v>1</v>
          </cell>
          <cell r="G10">
            <v>10.664199999999999</v>
          </cell>
          <cell r="H10">
            <v>3.6991999999999998</v>
          </cell>
          <cell r="I10">
            <v>2.6777000000000002</v>
          </cell>
          <cell r="J10">
            <v>0.46200000000000002</v>
          </cell>
        </row>
        <row r="11">
          <cell r="C11">
            <v>26.385000000000002</v>
          </cell>
          <cell r="D11">
            <v>37.689</v>
          </cell>
          <cell r="E11">
            <v>0.85799999999999998</v>
          </cell>
          <cell r="F11">
            <v>1</v>
          </cell>
          <cell r="G11">
            <v>9.2446000000000002</v>
          </cell>
          <cell r="H11">
            <v>3.3813</v>
          </cell>
          <cell r="I11">
            <v>2.274</v>
          </cell>
          <cell r="J11">
            <v>0.308</v>
          </cell>
        </row>
        <row r="12">
          <cell r="C12">
            <v>14.253</v>
          </cell>
          <cell r="D12">
            <v>24.968</v>
          </cell>
          <cell r="E12">
            <v>0.54800000000000004</v>
          </cell>
          <cell r="F12">
            <v>1</v>
          </cell>
          <cell r="G12">
            <v>9.4343000000000004</v>
          </cell>
          <cell r="H12">
            <v>3.8056999999999999</v>
          </cell>
          <cell r="I12">
            <v>2.8767</v>
          </cell>
          <cell r="J12">
            <v>7.6999999999999999E-2</v>
          </cell>
        </row>
        <row r="13">
          <cell r="C13">
            <v>10.262</v>
          </cell>
          <cell r="D13">
            <v>19.759</v>
          </cell>
          <cell r="E13">
            <v>0.505</v>
          </cell>
          <cell r="F13">
            <v>1</v>
          </cell>
          <cell r="G13">
            <v>8.7728999999999999</v>
          </cell>
          <cell r="H13">
            <v>3.0350000000000001</v>
          </cell>
          <cell r="I13">
            <v>3.6055000000000001</v>
          </cell>
          <cell r="J13">
            <v>7.6999999999999999E-2</v>
          </cell>
        </row>
        <row r="14">
          <cell r="C14">
            <v>26.14</v>
          </cell>
          <cell r="D14">
            <v>35.218000000000004</v>
          </cell>
          <cell r="E14">
            <v>1</v>
          </cell>
          <cell r="F14">
            <v>0</v>
          </cell>
          <cell r="G14">
            <v>7.5796999999999999</v>
          </cell>
          <cell r="H14">
            <v>4.4081999999999999</v>
          </cell>
          <cell r="I14">
            <v>2.9457</v>
          </cell>
          <cell r="J14">
            <v>0.38500000000000001</v>
          </cell>
        </row>
        <row r="15">
          <cell r="C15">
            <v>18.344999999999999</v>
          </cell>
          <cell r="D15">
            <v>68.263000000000005</v>
          </cell>
          <cell r="E15">
            <v>0.63400000000000001</v>
          </cell>
          <cell r="F15">
            <v>1</v>
          </cell>
          <cell r="G15">
            <v>5.7279999999999998</v>
          </cell>
          <cell r="H15">
            <v>4.1500000000000004</v>
          </cell>
          <cell r="I15">
            <v>1.2538</v>
          </cell>
          <cell r="J15">
            <v>0.23100000000000001</v>
          </cell>
        </row>
        <row r="16">
          <cell r="C16">
            <v>23.824000000000002</v>
          </cell>
          <cell r="D16">
            <v>36.238999999999997</v>
          </cell>
          <cell r="E16">
            <v>0.747</v>
          </cell>
          <cell r="F16">
            <v>1</v>
          </cell>
          <cell r="G16">
            <v>9.7180999999999997</v>
          </cell>
          <cell r="H16">
            <v>4.4661999999999997</v>
          </cell>
          <cell r="I16">
            <v>2.6863999999999999</v>
          </cell>
          <cell r="J16">
            <v>0.53800000000000003</v>
          </cell>
        </row>
        <row r="17">
          <cell r="C17">
            <v>5.3170000000000002</v>
          </cell>
          <cell r="D17">
            <v>19.193000000000001</v>
          </cell>
          <cell r="E17">
            <v>0.377</v>
          </cell>
          <cell r="F17">
            <v>1</v>
          </cell>
          <cell r="G17">
            <v>6.5049000000000001</v>
          </cell>
          <cell r="H17">
            <v>4.0258000000000003</v>
          </cell>
          <cell r="I17">
            <v>0.18809999999999999</v>
          </cell>
          <cell r="J17">
            <v>0</v>
          </cell>
        </row>
        <row r="18">
          <cell r="C18">
            <v>26.5</v>
          </cell>
          <cell r="D18">
            <v>35.558999999999997</v>
          </cell>
          <cell r="E18">
            <v>1</v>
          </cell>
          <cell r="F18">
            <v>0</v>
          </cell>
          <cell r="G18">
            <v>9.1387</v>
          </cell>
          <cell r="H18">
            <v>4.1843000000000004</v>
          </cell>
          <cell r="I18">
            <v>3.1698</v>
          </cell>
          <cell r="J18">
            <v>0.23100000000000001</v>
          </cell>
        </row>
        <row r="19">
          <cell r="C19">
            <v>25.42</v>
          </cell>
          <cell r="D19">
            <v>75.159000000000006</v>
          </cell>
          <cell r="E19">
            <v>1</v>
          </cell>
          <cell r="F19">
            <v>0</v>
          </cell>
          <cell r="G19">
            <v>6.2771999999999997</v>
          </cell>
          <cell r="H19">
            <v>4.9015000000000004</v>
          </cell>
          <cell r="I19">
            <v>1.9670000000000001</v>
          </cell>
          <cell r="J19">
            <v>0.308</v>
          </cell>
        </row>
        <row r="20">
          <cell r="C20">
            <v>9.5190000000000001</v>
          </cell>
          <cell r="D20">
            <v>98.218000000000004</v>
          </cell>
          <cell r="E20">
            <v>0.41599999999999998</v>
          </cell>
          <cell r="F20">
            <v>1</v>
          </cell>
          <cell r="G20">
            <v>9.1044999999999998</v>
          </cell>
          <cell r="H20">
            <v>6.5949</v>
          </cell>
          <cell r="I20">
            <v>1.891</v>
          </cell>
          <cell r="J20">
            <v>0</v>
          </cell>
        </row>
      </sheetData>
      <sheetData sheetId="2">
        <row r="1">
          <cell r="C1" t="str">
            <v>LapDuration_s</v>
          </cell>
          <cell r="D1" t="str">
            <v>AttemptDuration_s</v>
          </cell>
          <cell r="E1" t="str">
            <v>LapProgress_0_1</v>
          </cell>
          <cell r="F1" t="str">
            <v>DeathOccurred</v>
          </cell>
          <cell r="G1" t="str">
            <v>MeanDeviation_m</v>
          </cell>
          <cell r="H1" t="str">
            <v>SpeedSD_mps</v>
          </cell>
          <cell r="I1" t="str">
            <v>MicroCorrectionsRate_per_s</v>
          </cell>
          <cell r="J1" t="str">
            <v>ObstacleHitRate</v>
          </cell>
        </row>
        <row r="2">
          <cell r="C2">
            <v>14.39</v>
          </cell>
          <cell r="D2">
            <v>51.262999999999998</v>
          </cell>
          <cell r="E2">
            <v>0.55400000000000005</v>
          </cell>
          <cell r="F2">
            <v>1</v>
          </cell>
          <cell r="G2">
            <v>7.2508999999999997</v>
          </cell>
          <cell r="H2">
            <v>2.5931999999999999</v>
          </cell>
          <cell r="I2">
            <v>3.0577000000000001</v>
          </cell>
          <cell r="J2">
            <v>7.6999999999999999E-2</v>
          </cell>
        </row>
        <row r="3">
          <cell r="C3">
            <v>22.721</v>
          </cell>
          <cell r="D3">
            <v>31.071000000000002</v>
          </cell>
          <cell r="E3">
            <v>0.74</v>
          </cell>
          <cell r="F3">
            <v>1</v>
          </cell>
          <cell r="G3">
            <v>8.3571000000000009</v>
          </cell>
          <cell r="H3">
            <v>4.8002000000000002</v>
          </cell>
          <cell r="I3">
            <v>6.9099000000000004</v>
          </cell>
          <cell r="J3">
            <v>0.23100000000000001</v>
          </cell>
        </row>
        <row r="4">
          <cell r="C4">
            <v>25.24</v>
          </cell>
          <cell r="D4">
            <v>40.899000000000001</v>
          </cell>
          <cell r="E4">
            <v>1</v>
          </cell>
          <cell r="F4">
            <v>0</v>
          </cell>
          <cell r="G4">
            <v>7.8982999999999999</v>
          </cell>
          <cell r="H4">
            <v>4.4537000000000004</v>
          </cell>
          <cell r="I4">
            <v>7.7257999999999996</v>
          </cell>
          <cell r="J4">
            <v>0.23100000000000001</v>
          </cell>
        </row>
      </sheetData>
      <sheetData sheetId="3">
        <row r="1">
          <cell r="C1" t="str">
            <v>LapDuration_s</v>
          </cell>
          <cell r="D1" t="str">
            <v>AttemptDuration_s</v>
          </cell>
          <cell r="E1" t="str">
            <v>LapProgress_0_1</v>
          </cell>
          <cell r="F1" t="str">
            <v>DeathOccurred</v>
          </cell>
          <cell r="G1" t="str">
            <v>MeanDeviation_m</v>
          </cell>
          <cell r="H1" t="str">
            <v>SpeedSD_mps</v>
          </cell>
          <cell r="I1" t="str">
            <v>MicroCorrectionsRate_per_s</v>
          </cell>
          <cell r="J1" t="str">
            <v>ObstacleHitRate</v>
          </cell>
        </row>
        <row r="2">
          <cell r="C2">
            <v>13.163</v>
          </cell>
          <cell r="D2">
            <v>30.628</v>
          </cell>
          <cell r="E2">
            <v>0.41699999999999998</v>
          </cell>
          <cell r="F2">
            <v>1</v>
          </cell>
          <cell r="G2">
            <v>9.6056000000000008</v>
          </cell>
          <cell r="H2">
            <v>4.8532000000000002</v>
          </cell>
          <cell r="I2">
            <v>0.15190000000000001</v>
          </cell>
          <cell r="J2">
            <v>7.6999999999999999E-2</v>
          </cell>
        </row>
        <row r="3">
          <cell r="C3">
            <v>13.723000000000001</v>
          </cell>
          <cell r="D3">
            <v>24.46</v>
          </cell>
          <cell r="E3">
            <v>0.505</v>
          </cell>
          <cell r="F3">
            <v>1</v>
          </cell>
          <cell r="G3">
            <v>12.127700000000001</v>
          </cell>
          <cell r="H3">
            <v>4.6603000000000003</v>
          </cell>
          <cell r="I3">
            <v>2.1133000000000002</v>
          </cell>
          <cell r="J3">
            <v>0.154</v>
          </cell>
        </row>
        <row r="4">
          <cell r="C4">
            <v>7.7060000000000004</v>
          </cell>
          <cell r="D4">
            <v>19.963000000000001</v>
          </cell>
          <cell r="E4">
            <v>0.40699999999999997</v>
          </cell>
          <cell r="F4">
            <v>1</v>
          </cell>
          <cell r="G4">
            <v>5.9881000000000002</v>
          </cell>
          <cell r="H4">
            <v>2.5594000000000001</v>
          </cell>
          <cell r="I4">
            <v>1.8167</v>
          </cell>
          <cell r="J4">
            <v>7.6999999999999999E-2</v>
          </cell>
        </row>
        <row r="5">
          <cell r="C5">
            <v>16.111999999999998</v>
          </cell>
          <cell r="D5">
            <v>26.484999999999999</v>
          </cell>
          <cell r="E5">
            <v>0.60099999999999998</v>
          </cell>
          <cell r="F5">
            <v>1</v>
          </cell>
          <cell r="G5">
            <v>12.979100000000001</v>
          </cell>
          <cell r="H5">
            <v>5.3715999999999999</v>
          </cell>
          <cell r="I5">
            <v>2.3584999999999998</v>
          </cell>
          <cell r="J5">
            <v>0.154</v>
          </cell>
        </row>
        <row r="6">
          <cell r="C6">
            <v>9.7210000000000001</v>
          </cell>
          <cell r="D6">
            <v>21.55</v>
          </cell>
          <cell r="E6">
            <v>0.47099999999999997</v>
          </cell>
          <cell r="F6">
            <v>1</v>
          </cell>
          <cell r="G6">
            <v>7.9156000000000004</v>
          </cell>
          <cell r="H6">
            <v>4.4217000000000004</v>
          </cell>
          <cell r="I6">
            <v>1.0286999999999999</v>
          </cell>
          <cell r="J6">
            <v>0.154</v>
          </cell>
        </row>
        <row r="7">
          <cell r="C7">
            <v>6.5609999999999999</v>
          </cell>
          <cell r="D7">
            <v>16.259</v>
          </cell>
          <cell r="E7">
            <v>0.38900000000000001</v>
          </cell>
          <cell r="F7">
            <v>1</v>
          </cell>
          <cell r="G7">
            <v>3.6808999999999998</v>
          </cell>
          <cell r="H7">
            <v>4.0873999999999997</v>
          </cell>
          <cell r="I7">
            <v>3.2008999999999999</v>
          </cell>
          <cell r="J7">
            <v>7.6999999999999999E-2</v>
          </cell>
        </row>
        <row r="8">
          <cell r="C8">
            <v>9.4860000000000007</v>
          </cell>
          <cell r="D8">
            <v>20.125</v>
          </cell>
          <cell r="E8">
            <v>0.438</v>
          </cell>
          <cell r="F8">
            <v>1</v>
          </cell>
          <cell r="G8">
            <v>9.9953000000000003</v>
          </cell>
          <cell r="H8">
            <v>5.1532999999999998</v>
          </cell>
          <cell r="I8">
            <v>4.0060000000000002</v>
          </cell>
          <cell r="J8">
            <v>0.154</v>
          </cell>
        </row>
        <row r="9">
          <cell r="C9">
            <v>9.8510000000000009</v>
          </cell>
          <cell r="D9">
            <v>21.965</v>
          </cell>
          <cell r="E9">
            <v>0.41599999999999998</v>
          </cell>
          <cell r="F9">
            <v>1</v>
          </cell>
          <cell r="G9">
            <v>7.4627999999999997</v>
          </cell>
          <cell r="H9">
            <v>4.9109999999999996</v>
          </cell>
          <cell r="I9">
            <v>1.2181999999999999</v>
          </cell>
          <cell r="J9">
            <v>7.6999999999999999E-2</v>
          </cell>
        </row>
        <row r="10">
          <cell r="C10">
            <v>8.1159999999999997</v>
          </cell>
          <cell r="D10">
            <v>19.565000000000001</v>
          </cell>
          <cell r="E10">
            <v>0.44900000000000001</v>
          </cell>
          <cell r="F10">
            <v>1</v>
          </cell>
          <cell r="G10">
            <v>5.7605000000000004</v>
          </cell>
          <cell r="H10">
            <v>4.484</v>
          </cell>
          <cell r="I10">
            <v>2.2179000000000002</v>
          </cell>
          <cell r="J10">
            <v>7.6999999999999999E-2</v>
          </cell>
        </row>
        <row r="11">
          <cell r="C11">
            <v>14.475</v>
          </cell>
          <cell r="D11">
            <v>22.818999999999999</v>
          </cell>
          <cell r="E11">
            <v>0.54600000000000004</v>
          </cell>
          <cell r="F11">
            <v>1</v>
          </cell>
          <cell r="G11">
            <v>4.7019000000000002</v>
          </cell>
          <cell r="H11">
            <v>4.1086</v>
          </cell>
          <cell r="I11">
            <v>1.0363</v>
          </cell>
          <cell r="J11">
            <v>0.23100000000000001</v>
          </cell>
        </row>
        <row r="12">
          <cell r="C12">
            <v>8.9390000000000001</v>
          </cell>
          <cell r="D12">
            <v>21.384</v>
          </cell>
          <cell r="E12">
            <v>0.46500000000000002</v>
          </cell>
          <cell r="F12">
            <v>1</v>
          </cell>
          <cell r="G12">
            <v>8.4776000000000007</v>
          </cell>
          <cell r="H12">
            <v>3.1139000000000001</v>
          </cell>
          <cell r="I12">
            <v>5.3699000000000003</v>
          </cell>
          <cell r="J12">
            <v>0</v>
          </cell>
        </row>
        <row r="13">
          <cell r="C13">
            <v>24.681999999999999</v>
          </cell>
          <cell r="D13">
            <v>38.923999999999999</v>
          </cell>
          <cell r="E13">
            <v>0.86599999999999999</v>
          </cell>
          <cell r="F13">
            <v>1</v>
          </cell>
          <cell r="G13">
            <v>8.3628</v>
          </cell>
          <cell r="H13">
            <v>4.1123000000000003</v>
          </cell>
          <cell r="I13">
            <v>2.4308999999999998</v>
          </cell>
          <cell r="J13">
            <v>0.308</v>
          </cell>
        </row>
        <row r="14">
          <cell r="C14">
            <v>23.021000000000001</v>
          </cell>
          <cell r="D14">
            <v>35.779000000000003</v>
          </cell>
          <cell r="E14">
            <v>0.65400000000000003</v>
          </cell>
          <cell r="F14">
            <v>1</v>
          </cell>
          <cell r="G14">
            <v>8.1935000000000002</v>
          </cell>
          <cell r="H14">
            <v>3.6989000000000001</v>
          </cell>
          <cell r="I14">
            <v>2.9973000000000001</v>
          </cell>
          <cell r="J14">
            <v>0.23100000000000001</v>
          </cell>
        </row>
        <row r="15">
          <cell r="C15">
            <v>7.7469999999999999</v>
          </cell>
          <cell r="D15">
            <v>20.506</v>
          </cell>
          <cell r="E15">
            <v>0.439</v>
          </cell>
          <cell r="F15">
            <v>1</v>
          </cell>
          <cell r="G15">
            <v>4.0788000000000002</v>
          </cell>
          <cell r="H15">
            <v>4.1264000000000003</v>
          </cell>
          <cell r="I15">
            <v>0.90359999999999996</v>
          </cell>
          <cell r="J15">
            <v>7.6999999999999999E-2</v>
          </cell>
        </row>
        <row r="16">
          <cell r="C16">
            <v>3.6579999999999999</v>
          </cell>
          <cell r="D16">
            <v>13.791</v>
          </cell>
          <cell r="E16">
            <v>0.35099999999999998</v>
          </cell>
          <cell r="F16">
            <v>0</v>
          </cell>
          <cell r="G16">
            <v>6.3551000000000002</v>
          </cell>
          <cell r="H16">
            <v>0.14749999999999999</v>
          </cell>
          <cell r="I16">
            <v>0</v>
          </cell>
          <cell r="J16">
            <v>0</v>
          </cell>
        </row>
      </sheetData>
      <sheetData sheetId="4">
        <row r="1">
          <cell r="C1" t="str">
            <v>LapDuration_s</v>
          </cell>
          <cell r="D1" t="str">
            <v>AttemptDuration_s</v>
          </cell>
          <cell r="E1" t="str">
            <v>LapProgress_0_1</v>
          </cell>
          <cell r="F1" t="str">
            <v>DeathOccurred</v>
          </cell>
          <cell r="G1" t="str">
            <v>MeanDeviation_m</v>
          </cell>
          <cell r="H1" t="str">
            <v>SpeedSD_mps</v>
          </cell>
          <cell r="I1" t="str">
            <v>MicroCorrectionsRate_per_s</v>
          </cell>
          <cell r="J1" t="str">
            <v>ObstacleHitRate</v>
          </cell>
        </row>
        <row r="2">
          <cell r="C2">
            <v>8.173</v>
          </cell>
          <cell r="D2">
            <v>57.735999999999997</v>
          </cell>
          <cell r="E2">
            <v>0.35599999999999998</v>
          </cell>
          <cell r="F2">
            <v>1</v>
          </cell>
          <cell r="G2">
            <v>7.4584000000000001</v>
          </cell>
          <cell r="H2">
            <v>4.5837000000000003</v>
          </cell>
          <cell r="I2">
            <v>3.4258000000000002</v>
          </cell>
          <cell r="J2">
            <v>7.6999999999999999E-2</v>
          </cell>
        </row>
        <row r="3">
          <cell r="C3">
            <v>3.7280000000000002</v>
          </cell>
          <cell r="D3">
            <v>12.61</v>
          </cell>
          <cell r="E3">
            <v>0.28399999999999997</v>
          </cell>
          <cell r="F3">
            <v>1</v>
          </cell>
          <cell r="G3">
            <v>4.7645</v>
          </cell>
          <cell r="H3">
            <v>3.3479000000000001</v>
          </cell>
          <cell r="I3">
            <v>0</v>
          </cell>
          <cell r="J3">
            <v>0</v>
          </cell>
        </row>
        <row r="4">
          <cell r="C4">
            <v>11.819000000000001</v>
          </cell>
          <cell r="D4">
            <v>20.991</v>
          </cell>
          <cell r="E4">
            <v>0.47199999999999998</v>
          </cell>
          <cell r="F4">
            <v>1</v>
          </cell>
          <cell r="G4">
            <v>6.601</v>
          </cell>
          <cell r="H4">
            <v>4.8335999999999997</v>
          </cell>
          <cell r="I4">
            <v>3.7227000000000001</v>
          </cell>
          <cell r="J4">
            <v>0.23100000000000001</v>
          </cell>
        </row>
        <row r="5">
          <cell r="C5">
            <v>16.055</v>
          </cell>
          <cell r="D5">
            <v>28.155000000000001</v>
          </cell>
          <cell r="E5">
            <v>0.61</v>
          </cell>
          <cell r="F5">
            <v>1</v>
          </cell>
          <cell r="G5">
            <v>8.1311</v>
          </cell>
          <cell r="H5">
            <v>4.4104999999999999</v>
          </cell>
          <cell r="I5">
            <v>4.7337999999999996</v>
          </cell>
          <cell r="J5">
            <v>0.23100000000000001</v>
          </cell>
        </row>
        <row r="6">
          <cell r="C6">
            <v>11.54</v>
          </cell>
          <cell r="D6">
            <v>22.164999999999999</v>
          </cell>
          <cell r="E6">
            <v>0.47199999999999998</v>
          </cell>
          <cell r="F6">
            <v>1</v>
          </cell>
          <cell r="G6">
            <v>9.5355000000000008</v>
          </cell>
          <cell r="H6">
            <v>4.5575999999999999</v>
          </cell>
          <cell r="I6">
            <v>4.5929000000000002</v>
          </cell>
          <cell r="J6">
            <v>0.154</v>
          </cell>
        </row>
        <row r="7">
          <cell r="C7">
            <v>17.734000000000002</v>
          </cell>
          <cell r="D7">
            <v>28.375</v>
          </cell>
          <cell r="E7">
            <v>0.57299999999999995</v>
          </cell>
          <cell r="F7">
            <v>1</v>
          </cell>
          <cell r="G7">
            <v>19.8978</v>
          </cell>
          <cell r="H7">
            <v>6.6730999999999998</v>
          </cell>
          <cell r="I7">
            <v>2.8195000000000001</v>
          </cell>
          <cell r="J7">
            <v>7.6999999999999999E-2</v>
          </cell>
        </row>
        <row r="8">
          <cell r="C8">
            <v>20.957999999999998</v>
          </cell>
          <cell r="D8">
            <v>34.783999999999999</v>
          </cell>
          <cell r="E8">
            <v>0.64100000000000001</v>
          </cell>
          <cell r="F8">
            <v>1</v>
          </cell>
          <cell r="G8">
            <v>15.7844</v>
          </cell>
          <cell r="H8">
            <v>4.2876000000000003</v>
          </cell>
          <cell r="I8">
            <v>3.5308999999999999</v>
          </cell>
          <cell r="J8">
            <v>0.308</v>
          </cell>
        </row>
        <row r="9">
          <cell r="C9">
            <v>17.259</v>
          </cell>
          <cell r="D9">
            <v>27.661000000000001</v>
          </cell>
          <cell r="E9">
            <v>0.64800000000000002</v>
          </cell>
          <cell r="F9">
            <v>1</v>
          </cell>
          <cell r="G9">
            <v>10.1127</v>
          </cell>
          <cell r="H9">
            <v>4.9433999999999996</v>
          </cell>
          <cell r="I9">
            <v>2.7231999999999998</v>
          </cell>
          <cell r="J9">
            <v>0.23100000000000001</v>
          </cell>
        </row>
        <row r="10">
          <cell r="C10">
            <v>26.048999999999999</v>
          </cell>
          <cell r="D10">
            <v>35.969000000000001</v>
          </cell>
          <cell r="E10">
            <v>0.92800000000000005</v>
          </cell>
          <cell r="F10">
            <v>1</v>
          </cell>
          <cell r="G10">
            <v>6.2281000000000004</v>
          </cell>
          <cell r="H10">
            <v>6.1162999999999998</v>
          </cell>
          <cell r="I10">
            <v>4.0308999999999999</v>
          </cell>
          <cell r="J10">
            <v>0.53800000000000003</v>
          </cell>
        </row>
        <row r="11">
          <cell r="C11">
            <v>12.295</v>
          </cell>
          <cell r="D11">
            <v>30.327000000000002</v>
          </cell>
          <cell r="E11">
            <v>0.502</v>
          </cell>
          <cell r="F11">
            <v>1</v>
          </cell>
          <cell r="G11">
            <v>10.4885</v>
          </cell>
          <cell r="H11">
            <v>4.9180999999999999</v>
          </cell>
          <cell r="I11">
            <v>3.5785999999999998</v>
          </cell>
          <cell r="J11">
            <v>0.154</v>
          </cell>
        </row>
        <row r="12">
          <cell r="C12">
            <v>20.3</v>
          </cell>
          <cell r="D12">
            <v>30.103999999999999</v>
          </cell>
          <cell r="E12">
            <v>0.61799999999999999</v>
          </cell>
          <cell r="F12">
            <v>1</v>
          </cell>
          <cell r="G12">
            <v>14.551399999999999</v>
          </cell>
          <cell r="H12">
            <v>4.6658999999999997</v>
          </cell>
          <cell r="I12">
            <v>2.9064000000000001</v>
          </cell>
          <cell r="J12">
            <v>0.308</v>
          </cell>
        </row>
        <row r="13">
          <cell r="C13">
            <v>30.855</v>
          </cell>
          <cell r="D13">
            <v>39.683999999999997</v>
          </cell>
          <cell r="E13">
            <v>1</v>
          </cell>
          <cell r="F13">
            <v>1</v>
          </cell>
          <cell r="G13">
            <v>9.0541</v>
          </cell>
          <cell r="H13">
            <v>4.6307999999999998</v>
          </cell>
          <cell r="I13">
            <v>3.6621999999999999</v>
          </cell>
          <cell r="J13">
            <v>0.23100000000000001</v>
          </cell>
        </row>
        <row r="14">
          <cell r="C14">
            <v>8.2759999999999998</v>
          </cell>
          <cell r="D14">
            <v>38.64</v>
          </cell>
          <cell r="E14">
            <v>0.35699999999999998</v>
          </cell>
          <cell r="F14">
            <v>1</v>
          </cell>
          <cell r="G14">
            <v>9.7454999999999998</v>
          </cell>
          <cell r="H14">
            <v>3.1242999999999999</v>
          </cell>
          <cell r="I14">
            <v>3.2625000000000002</v>
          </cell>
          <cell r="J14">
            <v>7.6999999999999999E-2</v>
          </cell>
        </row>
        <row r="15">
          <cell r="C15">
            <v>26.82</v>
          </cell>
          <cell r="D15">
            <v>35.417999999999999</v>
          </cell>
          <cell r="E15">
            <v>1</v>
          </cell>
          <cell r="F15">
            <v>0</v>
          </cell>
          <cell r="G15">
            <v>6.6524999999999999</v>
          </cell>
          <cell r="H15">
            <v>5.3613</v>
          </cell>
          <cell r="I15">
            <v>3.9895999999999998</v>
          </cell>
          <cell r="J15">
            <v>0.46200000000000002</v>
          </cell>
        </row>
        <row r="16">
          <cell r="C16">
            <v>11.932</v>
          </cell>
          <cell r="D16">
            <v>60.43</v>
          </cell>
          <cell r="E16">
            <v>0.47299999999999998</v>
          </cell>
          <cell r="F16">
            <v>1</v>
          </cell>
          <cell r="G16">
            <v>10.8385</v>
          </cell>
          <cell r="H16">
            <v>3.2827999999999999</v>
          </cell>
          <cell r="I16">
            <v>3.2686000000000002</v>
          </cell>
          <cell r="J16">
            <v>7.6999999999999999E-2</v>
          </cell>
        </row>
        <row r="17">
          <cell r="C17">
            <v>20.81</v>
          </cell>
          <cell r="D17">
            <v>30.738</v>
          </cell>
          <cell r="E17">
            <v>0.68200000000000005</v>
          </cell>
          <cell r="F17">
            <v>1</v>
          </cell>
          <cell r="G17">
            <v>7.5723000000000003</v>
          </cell>
          <cell r="H17">
            <v>3.1941000000000002</v>
          </cell>
          <cell r="I17">
            <v>2.6429999999999998</v>
          </cell>
          <cell r="J17">
            <v>0.308</v>
          </cell>
        </row>
        <row r="18">
          <cell r="C18">
            <v>23.291</v>
          </cell>
          <cell r="D18">
            <v>32.640999999999998</v>
          </cell>
          <cell r="E18">
            <v>0.80900000000000005</v>
          </cell>
          <cell r="F18">
            <v>1</v>
          </cell>
          <cell r="G18">
            <v>5.8297999999999996</v>
          </cell>
          <cell r="H18">
            <v>5.5468999999999999</v>
          </cell>
          <cell r="I18">
            <v>2.7479</v>
          </cell>
          <cell r="J18">
            <v>0.308</v>
          </cell>
        </row>
        <row r="19">
          <cell r="C19">
            <v>26.26</v>
          </cell>
          <cell r="D19">
            <v>41.85</v>
          </cell>
          <cell r="E19">
            <v>1</v>
          </cell>
          <cell r="F19">
            <v>0</v>
          </cell>
          <cell r="G19">
            <v>6.5548999999999999</v>
          </cell>
          <cell r="H19">
            <v>5.2755999999999998</v>
          </cell>
          <cell r="I19">
            <v>4.6077000000000004</v>
          </cell>
          <cell r="J19">
            <v>0.53800000000000003</v>
          </cell>
        </row>
        <row r="20">
          <cell r="C20">
            <v>25.5</v>
          </cell>
          <cell r="D20">
            <v>81.509</v>
          </cell>
          <cell r="E20">
            <v>1</v>
          </cell>
          <cell r="F20">
            <v>0</v>
          </cell>
          <cell r="G20">
            <v>5.5243000000000002</v>
          </cell>
          <cell r="H20">
            <v>5.9039000000000001</v>
          </cell>
          <cell r="I20">
            <v>4.8627000000000002</v>
          </cell>
          <cell r="J20">
            <v>0.23100000000000001</v>
          </cell>
        </row>
        <row r="21">
          <cell r="C21">
            <v>26.82</v>
          </cell>
          <cell r="D21">
            <v>121.23</v>
          </cell>
          <cell r="E21">
            <v>1</v>
          </cell>
          <cell r="F21">
            <v>0</v>
          </cell>
          <cell r="G21">
            <v>6.7154999999999996</v>
          </cell>
          <cell r="H21">
            <v>5.3552999999999997</v>
          </cell>
          <cell r="I21">
            <v>4.2878999999999996</v>
          </cell>
          <cell r="J21">
            <v>0.23100000000000001</v>
          </cell>
        </row>
        <row r="22">
          <cell r="C22">
            <v>25.22</v>
          </cell>
          <cell r="D22">
            <v>160.589</v>
          </cell>
          <cell r="E22">
            <v>1</v>
          </cell>
          <cell r="F22">
            <v>0</v>
          </cell>
          <cell r="G22">
            <v>7.2028999999999996</v>
          </cell>
          <cell r="H22">
            <v>5.2927999999999997</v>
          </cell>
          <cell r="I22">
            <v>4.4409999999999998</v>
          </cell>
          <cell r="J22">
            <v>0.308</v>
          </cell>
        </row>
      </sheetData>
      <sheetData sheetId="5">
        <row r="1">
          <cell r="C1" t="str">
            <v>LapDuration_s</v>
          </cell>
          <cell r="D1" t="str">
            <v>AttemptDuration_s</v>
          </cell>
          <cell r="E1" t="str">
            <v>LapProgress_0_1</v>
          </cell>
          <cell r="F1" t="str">
            <v>DeathOccurred</v>
          </cell>
          <cell r="G1" t="str">
            <v>MeanDeviation_m</v>
          </cell>
          <cell r="H1" t="str">
            <v>SpeedSD_mps</v>
          </cell>
          <cell r="I1" t="str">
            <v>MicroCorrectionsRate_per_s</v>
          </cell>
          <cell r="J1" t="str">
            <v>ObstacleHitRate</v>
          </cell>
        </row>
        <row r="2">
          <cell r="C2">
            <v>9.5090000000000003</v>
          </cell>
          <cell r="D2">
            <v>48.036999999999999</v>
          </cell>
          <cell r="E2">
            <v>0.41599999999999998</v>
          </cell>
          <cell r="F2">
            <v>1</v>
          </cell>
          <cell r="G2">
            <v>14.162699999999999</v>
          </cell>
          <cell r="H2">
            <v>3.4022999999999999</v>
          </cell>
          <cell r="I2">
            <v>3.2601</v>
          </cell>
          <cell r="J2">
            <v>7.6999999999999999E-2</v>
          </cell>
        </row>
        <row r="3">
          <cell r="C3">
            <v>19.007000000000001</v>
          </cell>
          <cell r="D3">
            <v>31.917999999999999</v>
          </cell>
          <cell r="E3">
            <v>0.67800000000000005</v>
          </cell>
          <cell r="F3">
            <v>1</v>
          </cell>
          <cell r="G3">
            <v>11.5604</v>
          </cell>
          <cell r="H3">
            <v>5.3837999999999999</v>
          </cell>
          <cell r="I3">
            <v>2.2623000000000002</v>
          </cell>
          <cell r="J3">
            <v>0.23100000000000001</v>
          </cell>
        </row>
        <row r="4">
          <cell r="C4">
            <v>27.263999999999999</v>
          </cell>
          <cell r="D4">
            <v>39.616999999999997</v>
          </cell>
          <cell r="E4">
            <v>1</v>
          </cell>
          <cell r="F4">
            <v>1</v>
          </cell>
          <cell r="G4">
            <v>10.699299999999999</v>
          </cell>
          <cell r="H4">
            <v>3.3189000000000002</v>
          </cell>
          <cell r="I4">
            <v>1.1003000000000001</v>
          </cell>
          <cell r="J4">
            <v>0.154</v>
          </cell>
        </row>
        <row r="5">
          <cell r="C5">
            <v>15.663</v>
          </cell>
          <cell r="D5">
            <v>68.519000000000005</v>
          </cell>
          <cell r="E5">
            <v>0.52900000000000003</v>
          </cell>
          <cell r="F5">
            <v>1</v>
          </cell>
          <cell r="G5">
            <v>11.0009</v>
          </cell>
          <cell r="H5">
            <v>5.4317000000000002</v>
          </cell>
          <cell r="I5">
            <v>2.9367999999999999</v>
          </cell>
          <cell r="J5">
            <v>0.154</v>
          </cell>
        </row>
      </sheetData>
      <sheetData sheetId="6"/>
      <sheetData sheetId="7"/>
      <sheetData sheetId="8">
        <row r="1">
          <cell r="C1" t="str">
            <v>LapDuration_s</v>
          </cell>
          <cell r="D1" t="str">
            <v>AttemptDuration_s</v>
          </cell>
          <cell r="E1" t="str">
            <v>LapProgress_0_1</v>
          </cell>
          <cell r="F1" t="str">
            <v>DeathOccurred</v>
          </cell>
          <cell r="G1" t="str">
            <v>MeanDeviation_m</v>
          </cell>
          <cell r="H1" t="str">
            <v>SpeedSD_mps</v>
          </cell>
          <cell r="I1" t="str">
            <v>MicroCorrectionsRate_per_s</v>
          </cell>
          <cell r="J1" t="str">
            <v>ObstacleHitRate</v>
          </cell>
        </row>
        <row r="2">
          <cell r="C2">
            <v>10.042</v>
          </cell>
          <cell r="D2">
            <v>50.19</v>
          </cell>
          <cell r="E2">
            <v>0.41599999999999998</v>
          </cell>
          <cell r="F2">
            <v>1</v>
          </cell>
          <cell r="G2">
            <v>10.593</v>
          </cell>
          <cell r="H2">
            <v>5.0050999999999997</v>
          </cell>
          <cell r="I2">
            <v>9.9599999999999994E-2</v>
          </cell>
          <cell r="J2">
            <v>7.6999999999999999E-2</v>
          </cell>
        </row>
        <row r="3">
          <cell r="C3">
            <v>25.92</v>
          </cell>
          <cell r="D3">
            <v>36.838000000000001</v>
          </cell>
          <cell r="E3">
            <v>0.999</v>
          </cell>
          <cell r="F3">
            <v>0</v>
          </cell>
          <cell r="G3">
            <v>9.3901000000000003</v>
          </cell>
          <cell r="H3">
            <v>3.5733000000000001</v>
          </cell>
          <cell r="I3">
            <v>3.5493999999999999</v>
          </cell>
          <cell r="J3">
            <v>0.46200000000000002</v>
          </cell>
        </row>
        <row r="4">
          <cell r="C4">
            <v>24.76</v>
          </cell>
          <cell r="D4">
            <v>47.951999999999998</v>
          </cell>
          <cell r="E4">
            <v>1</v>
          </cell>
          <cell r="F4">
            <v>0</v>
          </cell>
          <cell r="G4">
            <v>8.5520999999999994</v>
          </cell>
          <cell r="H4">
            <v>4.0814000000000004</v>
          </cell>
          <cell r="I4">
            <v>3.3117999999999999</v>
          </cell>
          <cell r="J4">
            <v>0.23100000000000001</v>
          </cell>
        </row>
        <row r="5">
          <cell r="C5">
            <v>25.28</v>
          </cell>
          <cell r="D5">
            <v>87.772000000000006</v>
          </cell>
          <cell r="E5">
            <v>1</v>
          </cell>
          <cell r="F5">
            <v>0</v>
          </cell>
          <cell r="G5">
            <v>8.4334000000000007</v>
          </cell>
          <cell r="H5">
            <v>3.9376000000000002</v>
          </cell>
          <cell r="I5">
            <v>3.5996999999999999</v>
          </cell>
          <cell r="J5">
            <v>0.23100000000000001</v>
          </cell>
        </row>
        <row r="6">
          <cell r="C6">
            <v>25.36</v>
          </cell>
          <cell r="D6">
            <v>127.11199999999999</v>
          </cell>
          <cell r="E6">
            <v>1</v>
          </cell>
          <cell r="F6">
            <v>0</v>
          </cell>
          <cell r="G6">
            <v>7.8625999999999996</v>
          </cell>
          <cell r="H6">
            <v>4.1936</v>
          </cell>
          <cell r="I6">
            <v>2.9967999999999999</v>
          </cell>
          <cell r="J6">
            <v>0.23100000000000001</v>
          </cell>
        </row>
        <row r="7">
          <cell r="C7">
            <v>15.509</v>
          </cell>
          <cell r="D7">
            <v>157.221</v>
          </cell>
          <cell r="E7">
            <v>0.53</v>
          </cell>
          <cell r="F7">
            <v>1</v>
          </cell>
          <cell r="G7">
            <v>8.2256</v>
          </cell>
          <cell r="H7">
            <v>5.4954999999999998</v>
          </cell>
          <cell r="I7">
            <v>1.9342999999999999</v>
          </cell>
          <cell r="J7">
            <v>0</v>
          </cell>
        </row>
      </sheetData>
      <sheetData sheetId="9">
        <row r="1">
          <cell r="C1" t="str">
            <v>LapDuration_s</v>
          </cell>
          <cell r="D1" t="str">
            <v>AttemptDuration_s</v>
          </cell>
          <cell r="E1" t="str">
            <v>LapProgress_0_1</v>
          </cell>
          <cell r="F1" t="str">
            <v>DeathOccurred</v>
          </cell>
          <cell r="G1" t="str">
            <v>MeanDeviation_m</v>
          </cell>
          <cell r="H1" t="str">
            <v>SpeedSD_mps</v>
          </cell>
          <cell r="I1" t="str">
            <v>MicroCorrectionsRate_per_s</v>
          </cell>
          <cell r="J1" t="str">
            <v>ObstacleHitRate</v>
          </cell>
        </row>
        <row r="2">
          <cell r="C2">
            <v>19.966000000000001</v>
          </cell>
          <cell r="D2">
            <v>32.621000000000002</v>
          </cell>
          <cell r="E2">
            <v>0.71199999999999997</v>
          </cell>
          <cell r="F2">
            <v>1</v>
          </cell>
          <cell r="G2">
            <v>8.6281999999999996</v>
          </cell>
          <cell r="H2">
            <v>4.4363000000000001</v>
          </cell>
          <cell r="I2">
            <v>2.9550000000000001</v>
          </cell>
          <cell r="J2">
            <v>0.23100000000000001</v>
          </cell>
        </row>
        <row r="3">
          <cell r="C3">
            <v>10.39</v>
          </cell>
          <cell r="D3">
            <v>58.904000000000003</v>
          </cell>
          <cell r="E3">
            <v>0.41599999999999998</v>
          </cell>
          <cell r="F3">
            <v>1</v>
          </cell>
          <cell r="G3">
            <v>12.073</v>
          </cell>
          <cell r="H3">
            <v>6.6351000000000004</v>
          </cell>
          <cell r="I3">
            <v>2.4062000000000001</v>
          </cell>
          <cell r="J3">
            <v>7.6999999999999999E-2</v>
          </cell>
        </row>
      </sheetData>
      <sheetData sheetId="10">
        <row r="1">
          <cell r="C1" t="str">
            <v>LapDuration_s</v>
          </cell>
          <cell r="D1" t="str">
            <v>AttemptDuration_s</v>
          </cell>
          <cell r="E1" t="str">
            <v>LapProgress_0_1</v>
          </cell>
          <cell r="F1" t="str">
            <v>DeathOccurred</v>
          </cell>
          <cell r="G1" t="str">
            <v>MeanDeviation_m</v>
          </cell>
          <cell r="H1" t="str">
            <v>SpeedSD_mps</v>
          </cell>
          <cell r="I1" t="str">
            <v>MicroCorrectionsRate_per_s</v>
          </cell>
          <cell r="J1" t="str">
            <v>ObstacleHitRate</v>
          </cell>
        </row>
        <row r="2">
          <cell r="C2">
            <v>9.0510000000000002</v>
          </cell>
          <cell r="D2">
            <v>59.209000000000003</v>
          </cell>
          <cell r="E2">
            <v>0.41599999999999998</v>
          </cell>
          <cell r="F2">
            <v>1</v>
          </cell>
          <cell r="G2">
            <v>10.742800000000001</v>
          </cell>
          <cell r="H2">
            <v>4.1731999999999996</v>
          </cell>
          <cell r="I2">
            <v>4.1981999999999999</v>
          </cell>
          <cell r="J2">
            <v>7.6999999999999999E-2</v>
          </cell>
        </row>
        <row r="3">
          <cell r="C3">
            <v>6.9930000000000003</v>
          </cell>
          <cell r="D3">
            <v>62.780999999999999</v>
          </cell>
          <cell r="E3">
            <v>0.35599999999999998</v>
          </cell>
          <cell r="F3">
            <v>1</v>
          </cell>
          <cell r="G3">
            <v>1.9564999999999999</v>
          </cell>
          <cell r="H3">
            <v>4.8055000000000003</v>
          </cell>
          <cell r="I3">
            <v>0</v>
          </cell>
          <cell r="J3">
            <v>7.6999999999999999E-2</v>
          </cell>
        </row>
      </sheetData>
      <sheetData sheetId="11">
        <row r="1">
          <cell r="C1" t="str">
            <v>LapDuration_s</v>
          </cell>
          <cell r="D1" t="str">
            <v>AttemptDuration_s</v>
          </cell>
          <cell r="E1" t="str">
            <v>LapProgress_0_1</v>
          </cell>
          <cell r="F1" t="str">
            <v>DeathOccurred</v>
          </cell>
          <cell r="G1" t="str">
            <v>MeanDeviation_m</v>
          </cell>
          <cell r="H1" t="str">
            <v>SpeedSD_mps</v>
          </cell>
          <cell r="I1" t="str">
            <v>MicroCorrectionsRate_per_s</v>
          </cell>
          <cell r="J1" t="str">
            <v>ObstacleHitRate</v>
          </cell>
        </row>
        <row r="2">
          <cell r="C2">
            <v>12.664999999999999</v>
          </cell>
          <cell r="D2">
            <v>46.768999999999998</v>
          </cell>
          <cell r="E2">
            <v>0.505</v>
          </cell>
          <cell r="F2">
            <v>1</v>
          </cell>
          <cell r="G2">
            <v>8.7194000000000003</v>
          </cell>
          <cell r="H2">
            <v>5.4512999999999998</v>
          </cell>
          <cell r="I2">
            <v>5.0533999999999999</v>
          </cell>
          <cell r="J2">
            <v>0.23100000000000001</v>
          </cell>
        </row>
        <row r="3">
          <cell r="C3">
            <v>28.062000000000001</v>
          </cell>
          <cell r="D3">
            <v>41.378</v>
          </cell>
          <cell r="E3">
            <v>1</v>
          </cell>
          <cell r="F3">
            <v>1</v>
          </cell>
          <cell r="G3">
            <v>8.4992999999999999</v>
          </cell>
          <cell r="H3">
            <v>5.6116000000000001</v>
          </cell>
          <cell r="I3">
            <v>5.9154</v>
          </cell>
          <cell r="J3">
            <v>0.38500000000000001</v>
          </cell>
        </row>
        <row r="4">
          <cell r="C4">
            <v>20.071000000000002</v>
          </cell>
          <cell r="D4">
            <v>29.408000000000001</v>
          </cell>
          <cell r="E4">
            <v>0.76400000000000001</v>
          </cell>
          <cell r="F4">
            <v>1</v>
          </cell>
          <cell r="G4">
            <v>6.3907999999999996</v>
          </cell>
          <cell r="H4">
            <v>5.1860999999999997</v>
          </cell>
          <cell r="I4">
            <v>4.9325999999999999</v>
          </cell>
          <cell r="J4">
            <v>0.23100000000000001</v>
          </cell>
        </row>
        <row r="5">
          <cell r="C5">
            <v>17.658999999999999</v>
          </cell>
          <cell r="D5">
            <v>28.648</v>
          </cell>
          <cell r="E5">
            <v>0.53500000000000003</v>
          </cell>
          <cell r="F5">
            <v>1</v>
          </cell>
          <cell r="G5">
            <v>9.0007999999999999</v>
          </cell>
          <cell r="H5">
            <v>5.5137999999999998</v>
          </cell>
          <cell r="I5">
            <v>3.964</v>
          </cell>
          <cell r="J5">
            <v>0.23100000000000001</v>
          </cell>
        </row>
        <row r="6">
          <cell r="C6">
            <v>22.355</v>
          </cell>
          <cell r="D6">
            <v>32.835999999999999</v>
          </cell>
          <cell r="E6">
            <v>0.74399999999999999</v>
          </cell>
          <cell r="F6">
            <v>1</v>
          </cell>
          <cell r="G6">
            <v>7.6875999999999998</v>
          </cell>
          <cell r="H6">
            <v>6.1813000000000002</v>
          </cell>
          <cell r="I6">
            <v>6.6204999999999998</v>
          </cell>
          <cell r="J6">
            <v>0.23100000000000001</v>
          </cell>
        </row>
      </sheetData>
      <sheetData sheetId="12">
        <row r="1">
          <cell r="C1" t="str">
            <v>LapDuration_s</v>
          </cell>
          <cell r="D1" t="str">
            <v>AttemptDuration_s</v>
          </cell>
          <cell r="E1" t="str">
            <v>LapProgress_0_1</v>
          </cell>
          <cell r="F1" t="str">
            <v>DeathOccurred</v>
          </cell>
          <cell r="G1" t="str">
            <v>MeanDeviation_m</v>
          </cell>
          <cell r="H1" t="str">
            <v>SpeedSD_mps</v>
          </cell>
          <cell r="I1" t="str">
            <v>MicroCorrectionsRate_per_s</v>
          </cell>
          <cell r="J1" t="str">
            <v>ObstacleHitRate</v>
          </cell>
        </row>
        <row r="2">
          <cell r="C2">
            <v>7.0540000000000003</v>
          </cell>
          <cell r="D2">
            <v>54.338000000000001</v>
          </cell>
          <cell r="E2">
            <v>0.35599999999999998</v>
          </cell>
          <cell r="F2">
            <v>1</v>
          </cell>
          <cell r="G2">
            <v>12.583299999999999</v>
          </cell>
          <cell r="H2">
            <v>5.5273000000000003</v>
          </cell>
          <cell r="I2">
            <v>3.9695999999999998</v>
          </cell>
          <cell r="J2">
            <v>7.6999999999999999E-2</v>
          </cell>
        </row>
        <row r="3">
          <cell r="C3">
            <v>21.556999999999999</v>
          </cell>
          <cell r="D3">
            <v>35.442999999999998</v>
          </cell>
          <cell r="E3">
            <v>0.77600000000000002</v>
          </cell>
          <cell r="F3">
            <v>1</v>
          </cell>
          <cell r="G3">
            <v>8.5716999999999999</v>
          </cell>
          <cell r="H3">
            <v>5.28</v>
          </cell>
          <cell r="I3">
            <v>6.4016000000000002</v>
          </cell>
          <cell r="J3">
            <v>0.154</v>
          </cell>
        </row>
        <row r="4">
          <cell r="C4">
            <v>14.859</v>
          </cell>
          <cell r="D4">
            <v>28.542000000000002</v>
          </cell>
          <cell r="E4">
            <v>0.53</v>
          </cell>
          <cell r="F4">
            <v>1</v>
          </cell>
          <cell r="G4">
            <v>8.2020999999999997</v>
          </cell>
          <cell r="H4">
            <v>3.3622999999999998</v>
          </cell>
          <cell r="I4">
            <v>3.4323000000000001</v>
          </cell>
          <cell r="J4">
            <v>7.6999999999999999E-2</v>
          </cell>
        </row>
        <row r="5">
          <cell r="C5">
            <v>25.72</v>
          </cell>
          <cell r="D5">
            <v>36.701000000000001</v>
          </cell>
          <cell r="E5">
            <v>1</v>
          </cell>
          <cell r="F5">
            <v>0</v>
          </cell>
          <cell r="G5">
            <v>7.4848999999999997</v>
          </cell>
          <cell r="H5">
            <v>4.5442</v>
          </cell>
          <cell r="I5">
            <v>4.6268000000000002</v>
          </cell>
          <cell r="J5">
            <v>0</v>
          </cell>
        </row>
        <row r="6">
          <cell r="C6">
            <v>14.872</v>
          </cell>
          <cell r="D6">
            <v>65.552999999999997</v>
          </cell>
          <cell r="E6">
            <v>0.53600000000000003</v>
          </cell>
          <cell r="F6">
            <v>1</v>
          </cell>
          <cell r="G6">
            <v>12.3001</v>
          </cell>
          <cell r="H6">
            <v>2.9113000000000002</v>
          </cell>
          <cell r="I6">
            <v>2.3534000000000002</v>
          </cell>
          <cell r="J6">
            <v>7.6999999999999999E-2</v>
          </cell>
        </row>
        <row r="7">
          <cell r="C7">
            <v>25.92</v>
          </cell>
          <cell r="D7">
            <v>38.607999999999997</v>
          </cell>
          <cell r="E7">
            <v>1</v>
          </cell>
          <cell r="F7">
            <v>0</v>
          </cell>
          <cell r="G7">
            <v>6.9170999999999996</v>
          </cell>
          <cell r="H7">
            <v>4.4595000000000002</v>
          </cell>
          <cell r="I7">
            <v>4.3596000000000004</v>
          </cell>
          <cell r="J7">
            <v>0.154</v>
          </cell>
        </row>
        <row r="8">
          <cell r="C8">
            <v>24.82</v>
          </cell>
          <cell r="D8">
            <v>77.888000000000005</v>
          </cell>
          <cell r="E8">
            <v>1</v>
          </cell>
          <cell r="F8">
            <v>0</v>
          </cell>
          <cell r="G8">
            <v>7.6886999999999999</v>
          </cell>
          <cell r="H8">
            <v>4.3217999999999996</v>
          </cell>
          <cell r="I8">
            <v>4.0693000000000001</v>
          </cell>
          <cell r="J8">
            <v>0</v>
          </cell>
        </row>
        <row r="9">
          <cell r="C9">
            <v>21.8</v>
          </cell>
          <cell r="D9">
            <v>113.248</v>
          </cell>
          <cell r="E9">
            <v>0.69799999999999995</v>
          </cell>
          <cell r="F9">
            <v>1</v>
          </cell>
          <cell r="G9">
            <v>8.3782999999999994</v>
          </cell>
          <cell r="H9">
            <v>3.8008999999999999</v>
          </cell>
          <cell r="I9">
            <v>4.266</v>
          </cell>
          <cell r="J9">
            <v>0.154</v>
          </cell>
        </row>
        <row r="10">
          <cell r="C10">
            <v>27.285</v>
          </cell>
          <cell r="D10">
            <v>49.365000000000002</v>
          </cell>
          <cell r="E10">
            <v>0.44900000000000001</v>
          </cell>
          <cell r="F10">
            <v>1</v>
          </cell>
          <cell r="G10">
            <v>32.2194</v>
          </cell>
          <cell r="H10">
            <v>5.5876999999999999</v>
          </cell>
          <cell r="I10">
            <v>0.5131</v>
          </cell>
          <cell r="J10">
            <v>7.6999999999999999E-2</v>
          </cell>
        </row>
        <row r="11">
          <cell r="C11">
            <v>25.134</v>
          </cell>
          <cell r="D11">
            <v>34.329000000000001</v>
          </cell>
          <cell r="E11">
            <v>0.82799999999999996</v>
          </cell>
          <cell r="F11">
            <v>1</v>
          </cell>
          <cell r="G11">
            <v>10.356400000000001</v>
          </cell>
          <cell r="H11">
            <v>5.5185000000000004</v>
          </cell>
          <cell r="I11">
            <v>3.5808</v>
          </cell>
          <cell r="J11">
            <v>0.46200000000000002</v>
          </cell>
        </row>
      </sheetData>
      <sheetData sheetId="13">
        <row r="1">
          <cell r="C1" t="str">
            <v>LapDuration_s</v>
          </cell>
          <cell r="D1" t="str">
            <v>AttemptDuration_s</v>
          </cell>
          <cell r="E1" t="str">
            <v>LapProgress_0_1</v>
          </cell>
          <cell r="F1" t="str">
            <v>DeathOccurred</v>
          </cell>
          <cell r="G1" t="str">
            <v>MeanDeviation_m</v>
          </cell>
          <cell r="H1" t="str">
            <v>SpeedSD_mps</v>
          </cell>
          <cell r="I1" t="str">
            <v>MicroCorrectionsRate_per_s</v>
          </cell>
          <cell r="J1" t="str">
            <v>ObstacleHitRate</v>
          </cell>
        </row>
        <row r="2">
          <cell r="C2">
            <v>20.433</v>
          </cell>
          <cell r="D2">
            <v>56.970999999999997</v>
          </cell>
          <cell r="E2">
            <v>0.59</v>
          </cell>
          <cell r="F2">
            <v>1</v>
          </cell>
          <cell r="G2">
            <v>11.4184</v>
          </cell>
          <cell r="H2">
            <v>5.6607000000000003</v>
          </cell>
          <cell r="I2">
            <v>2.496</v>
          </cell>
          <cell r="J2">
            <v>0.38500000000000001</v>
          </cell>
        </row>
        <row r="3">
          <cell r="C3">
            <v>20.949000000000002</v>
          </cell>
          <cell r="D3">
            <v>32.136000000000003</v>
          </cell>
          <cell r="E3">
            <v>0.73499999999999999</v>
          </cell>
          <cell r="F3">
            <v>1</v>
          </cell>
          <cell r="G3">
            <v>9.7390000000000008</v>
          </cell>
          <cell r="H3">
            <v>3.754</v>
          </cell>
          <cell r="I3">
            <v>1.623</v>
          </cell>
          <cell r="J3">
            <v>0.308</v>
          </cell>
        </row>
        <row r="4">
          <cell r="C4">
            <v>14.295</v>
          </cell>
          <cell r="D4">
            <v>27.286999999999999</v>
          </cell>
          <cell r="E4">
            <v>0.56599999999999995</v>
          </cell>
          <cell r="F4">
            <v>1</v>
          </cell>
          <cell r="G4">
            <v>6.9269999999999996</v>
          </cell>
          <cell r="H4">
            <v>4.3146000000000004</v>
          </cell>
          <cell r="I4">
            <v>1.7487999999999999</v>
          </cell>
          <cell r="J4">
            <v>0.23100000000000001</v>
          </cell>
        </row>
        <row r="5">
          <cell r="C5">
            <v>16.058</v>
          </cell>
          <cell r="D5">
            <v>25.663</v>
          </cell>
          <cell r="E5">
            <v>0.505</v>
          </cell>
          <cell r="F5">
            <v>1</v>
          </cell>
          <cell r="G5">
            <v>14.3504</v>
          </cell>
          <cell r="H5">
            <v>4.2610999999999999</v>
          </cell>
          <cell r="I5">
            <v>2.1796000000000002</v>
          </cell>
          <cell r="J5">
            <v>0.23100000000000001</v>
          </cell>
        </row>
        <row r="6">
          <cell r="C6">
            <v>14.256</v>
          </cell>
          <cell r="D6">
            <v>23.038</v>
          </cell>
          <cell r="E6">
            <v>0.52700000000000002</v>
          </cell>
          <cell r="F6">
            <v>1</v>
          </cell>
          <cell r="G6">
            <v>9.9792000000000005</v>
          </cell>
          <cell r="H6">
            <v>3.2519999999999998</v>
          </cell>
          <cell r="I6">
            <v>1.4731000000000001</v>
          </cell>
          <cell r="J6">
            <v>7.6999999999999999E-2</v>
          </cell>
        </row>
        <row r="7">
          <cell r="C7">
            <v>18.844000000000001</v>
          </cell>
          <cell r="D7">
            <v>28.148</v>
          </cell>
          <cell r="E7">
            <v>0.59</v>
          </cell>
          <cell r="F7">
            <v>1</v>
          </cell>
          <cell r="G7">
            <v>8.6455000000000002</v>
          </cell>
          <cell r="H7">
            <v>5.0766</v>
          </cell>
          <cell r="I7">
            <v>3.6615000000000002</v>
          </cell>
          <cell r="J7">
            <v>0.308</v>
          </cell>
        </row>
        <row r="8">
          <cell r="C8">
            <v>19.872</v>
          </cell>
          <cell r="D8">
            <v>31.488</v>
          </cell>
          <cell r="E8">
            <v>0.68600000000000005</v>
          </cell>
          <cell r="F8">
            <v>1</v>
          </cell>
          <cell r="G8">
            <v>7.7827000000000002</v>
          </cell>
          <cell r="H8">
            <v>4.2534999999999998</v>
          </cell>
          <cell r="I8">
            <v>3.5729000000000002</v>
          </cell>
          <cell r="J8">
            <v>0.38500000000000001</v>
          </cell>
        </row>
        <row r="9">
          <cell r="C9">
            <v>21.29</v>
          </cell>
          <cell r="D9">
            <v>30.218</v>
          </cell>
          <cell r="E9">
            <v>0.78</v>
          </cell>
          <cell r="F9">
            <v>1</v>
          </cell>
          <cell r="G9">
            <v>9.2850999999999999</v>
          </cell>
          <cell r="H9">
            <v>3.1777000000000002</v>
          </cell>
          <cell r="I9">
            <v>1.8788</v>
          </cell>
          <cell r="J9">
            <v>0.23100000000000001</v>
          </cell>
        </row>
        <row r="10">
          <cell r="C10">
            <v>24.917000000000002</v>
          </cell>
          <cell r="D10">
            <v>34.627000000000002</v>
          </cell>
          <cell r="E10">
            <v>0.84099999999999997</v>
          </cell>
          <cell r="F10">
            <v>1</v>
          </cell>
          <cell r="G10">
            <v>8.1926000000000005</v>
          </cell>
          <cell r="H10">
            <v>3.3637999999999999</v>
          </cell>
          <cell r="I10">
            <v>2.3277000000000001</v>
          </cell>
          <cell r="J10">
            <v>0.53800000000000003</v>
          </cell>
        </row>
        <row r="11">
          <cell r="C11">
            <v>15.298999999999999</v>
          </cell>
          <cell r="D11">
            <v>25.902000000000001</v>
          </cell>
          <cell r="E11">
            <v>0.51500000000000001</v>
          </cell>
          <cell r="F11">
            <v>1</v>
          </cell>
          <cell r="G11">
            <v>9.5589999999999993</v>
          </cell>
          <cell r="H11">
            <v>4.7755000000000001</v>
          </cell>
          <cell r="I11">
            <v>1.0458000000000001</v>
          </cell>
          <cell r="J11">
            <v>0.154</v>
          </cell>
        </row>
        <row r="12">
          <cell r="C12">
            <v>20.396999999999998</v>
          </cell>
          <cell r="D12">
            <v>29.858000000000001</v>
          </cell>
          <cell r="E12">
            <v>0.68600000000000005</v>
          </cell>
          <cell r="F12">
            <v>1</v>
          </cell>
          <cell r="G12">
            <v>7.5057999999999998</v>
          </cell>
          <cell r="H12">
            <v>3.5066999999999999</v>
          </cell>
          <cell r="I12">
            <v>1.1766000000000001</v>
          </cell>
          <cell r="J12">
            <v>0.154</v>
          </cell>
        </row>
        <row r="13">
          <cell r="C13">
            <v>21.056000000000001</v>
          </cell>
          <cell r="D13">
            <v>31.279</v>
          </cell>
          <cell r="E13">
            <v>0.73</v>
          </cell>
          <cell r="F13">
            <v>1</v>
          </cell>
          <cell r="G13">
            <v>7.0023</v>
          </cell>
          <cell r="H13">
            <v>4.3491</v>
          </cell>
          <cell r="I13">
            <v>2.0897000000000001</v>
          </cell>
          <cell r="J13">
            <v>0.154</v>
          </cell>
        </row>
        <row r="14">
          <cell r="C14">
            <v>20.852</v>
          </cell>
          <cell r="D14">
            <v>31.155999999999999</v>
          </cell>
          <cell r="E14">
            <v>0.72199999999999998</v>
          </cell>
          <cell r="F14">
            <v>1</v>
          </cell>
          <cell r="G14">
            <v>7.6620999999999997</v>
          </cell>
          <cell r="H14">
            <v>3.7688000000000001</v>
          </cell>
          <cell r="I14">
            <v>2.8294999999999999</v>
          </cell>
          <cell r="J14">
            <v>0.23100000000000001</v>
          </cell>
        </row>
        <row r="15">
          <cell r="C15">
            <v>20.332000000000001</v>
          </cell>
          <cell r="D15">
            <v>31.26</v>
          </cell>
          <cell r="E15">
            <v>0.69199999999999995</v>
          </cell>
          <cell r="F15">
            <v>1</v>
          </cell>
          <cell r="G15">
            <v>9.0823999999999998</v>
          </cell>
          <cell r="H15">
            <v>3.4108999999999998</v>
          </cell>
          <cell r="I15">
            <v>3.0985999999999998</v>
          </cell>
          <cell r="J15">
            <v>7.6999999999999999E-2</v>
          </cell>
        </row>
        <row r="16">
          <cell r="C16">
            <v>23.152000000000001</v>
          </cell>
          <cell r="D16">
            <v>32.42</v>
          </cell>
          <cell r="E16">
            <v>0.77</v>
          </cell>
          <cell r="F16">
            <v>1</v>
          </cell>
          <cell r="G16">
            <v>8.3844999999999992</v>
          </cell>
          <cell r="H16">
            <v>3.2132999999999998</v>
          </cell>
          <cell r="I16">
            <v>4.1032999999999999</v>
          </cell>
          <cell r="J16">
            <v>0.23100000000000001</v>
          </cell>
        </row>
        <row r="17">
          <cell r="C17">
            <v>25.58</v>
          </cell>
          <cell r="D17">
            <v>36.188000000000002</v>
          </cell>
          <cell r="E17">
            <v>1</v>
          </cell>
          <cell r="F17">
            <v>0</v>
          </cell>
          <cell r="G17">
            <v>9.9341000000000008</v>
          </cell>
          <cell r="H17">
            <v>4.9074</v>
          </cell>
          <cell r="I17">
            <v>4.9648000000000003</v>
          </cell>
          <cell r="J17">
            <v>0.53800000000000003</v>
          </cell>
        </row>
        <row r="18">
          <cell r="C18">
            <v>26.867000000000001</v>
          </cell>
          <cell r="D18">
            <v>76.974999999999994</v>
          </cell>
          <cell r="E18">
            <v>0.97299999999999998</v>
          </cell>
          <cell r="F18">
            <v>1</v>
          </cell>
          <cell r="G18">
            <v>8.8613999999999997</v>
          </cell>
          <cell r="H18">
            <v>3.8363999999999998</v>
          </cell>
          <cell r="I18">
            <v>1.5631999999999999</v>
          </cell>
          <cell r="J18">
            <v>0.308</v>
          </cell>
        </row>
        <row r="19">
          <cell r="C19">
            <v>21.385000000000002</v>
          </cell>
          <cell r="D19">
            <v>31.177</v>
          </cell>
          <cell r="E19">
            <v>0.749</v>
          </cell>
          <cell r="F19">
            <v>1</v>
          </cell>
          <cell r="G19">
            <v>7.9267000000000003</v>
          </cell>
          <cell r="H19">
            <v>2.9214000000000002</v>
          </cell>
          <cell r="I19">
            <v>1.4029</v>
          </cell>
          <cell r="J19">
            <v>0.23100000000000001</v>
          </cell>
        </row>
        <row r="20">
          <cell r="C20">
            <v>25.545000000000002</v>
          </cell>
          <cell r="D20">
            <v>34.820999999999998</v>
          </cell>
          <cell r="E20">
            <v>0.80200000000000005</v>
          </cell>
          <cell r="F20">
            <v>1</v>
          </cell>
          <cell r="G20">
            <v>10.3932</v>
          </cell>
          <cell r="H20">
            <v>3.9386000000000001</v>
          </cell>
          <cell r="I20">
            <v>3.3666</v>
          </cell>
          <cell r="J20">
            <v>0.46200000000000002</v>
          </cell>
        </row>
        <row r="21">
          <cell r="C21">
            <v>28.916</v>
          </cell>
          <cell r="D21">
            <v>38.271000000000001</v>
          </cell>
          <cell r="E21">
            <v>1</v>
          </cell>
          <cell r="F21">
            <v>1</v>
          </cell>
          <cell r="G21">
            <v>8.1686999999999994</v>
          </cell>
          <cell r="H21">
            <v>4.0877999999999997</v>
          </cell>
          <cell r="I21">
            <v>3.7004000000000001</v>
          </cell>
          <cell r="J21">
            <v>0.38500000000000001</v>
          </cell>
        </row>
        <row r="22">
          <cell r="C22">
            <v>25.350999999999999</v>
          </cell>
          <cell r="D22">
            <v>34.274999999999999</v>
          </cell>
          <cell r="E22">
            <v>0.98799999999999999</v>
          </cell>
          <cell r="F22">
            <v>1</v>
          </cell>
          <cell r="G22">
            <v>7.2988</v>
          </cell>
          <cell r="H22">
            <v>4.2854000000000001</v>
          </cell>
          <cell r="I22">
            <v>1.9329000000000001</v>
          </cell>
          <cell r="J22">
            <v>0.308</v>
          </cell>
        </row>
        <row r="23">
          <cell r="C23">
            <v>25.72</v>
          </cell>
          <cell r="D23">
            <v>35.509</v>
          </cell>
          <cell r="E23">
            <v>1</v>
          </cell>
          <cell r="F23">
            <v>0</v>
          </cell>
          <cell r="G23">
            <v>10.7834</v>
          </cell>
          <cell r="H23">
            <v>3.8148</v>
          </cell>
          <cell r="I23">
            <v>3.2658999999999998</v>
          </cell>
          <cell r="J23">
            <v>0.23100000000000001</v>
          </cell>
        </row>
        <row r="24">
          <cell r="C24">
            <v>21.957999999999998</v>
          </cell>
          <cell r="D24">
            <v>71.427000000000007</v>
          </cell>
          <cell r="E24">
            <v>0.65</v>
          </cell>
          <cell r="F24">
            <v>1</v>
          </cell>
          <cell r="G24">
            <v>11.6751</v>
          </cell>
          <cell r="H24">
            <v>5.0651999999999999</v>
          </cell>
          <cell r="I24">
            <v>1.5028999999999999</v>
          </cell>
          <cell r="J24">
            <v>0.23100000000000001</v>
          </cell>
        </row>
      </sheetData>
      <sheetData sheetId="14">
        <row r="1">
          <cell r="C1" t="str">
            <v>LapDuration_s</v>
          </cell>
        </row>
      </sheetData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dap_CataAguilar"/>
      <sheetName val="adap_GonzaloCampos"/>
      <sheetName val="adap_IgnaciaDelgado"/>
      <sheetName val="adap_IsidoraToledo"/>
      <sheetName val="adap_JavierSalinas"/>
      <sheetName val="adap_MariannaMaregatti"/>
      <sheetName val="adap_SebastianRatto"/>
      <sheetName val="adap_SofiaVidal"/>
      <sheetName val="adap_VicenteOlguin"/>
      <sheetName val="adap_VicenteQuintana"/>
      <sheetName val="adap_VicenteVidal"/>
      <sheetName val="adap_yo"/>
      <sheetName val="Sheet1"/>
    </sheetNames>
    <sheetDataSet>
      <sheetData sheetId="0">
        <row r="1">
          <cell r="C1" t="str">
            <v>LapDuration_s</v>
          </cell>
          <cell r="D1" t="str">
            <v>AttemptDuration_s</v>
          </cell>
          <cell r="E1" t="str">
            <v>LapProgress_0_1</v>
          </cell>
          <cell r="F1" t="str">
            <v>DeathOccurred</v>
          </cell>
          <cell r="G1" t="str">
            <v>MeanDeviation_m</v>
          </cell>
          <cell r="H1" t="str">
            <v>SpeedSD_mps</v>
          </cell>
          <cell r="I1" t="str">
            <v>MicroCorrectionsRate_per_s</v>
          </cell>
          <cell r="J1" t="str">
            <v>ObstacleHitRate</v>
          </cell>
        </row>
        <row r="2">
          <cell r="C2">
            <v>26.3</v>
          </cell>
          <cell r="D2">
            <v>37.805</v>
          </cell>
          <cell r="E2">
            <v>1</v>
          </cell>
          <cell r="F2">
            <v>0</v>
          </cell>
          <cell r="G2">
            <v>6.5835999999999997</v>
          </cell>
          <cell r="H2">
            <v>4.1276000000000002</v>
          </cell>
          <cell r="I2">
            <v>4.2586000000000004</v>
          </cell>
          <cell r="J2">
            <v>0.46200000000000002</v>
          </cell>
        </row>
        <row r="3">
          <cell r="C3">
            <v>24.42</v>
          </cell>
          <cell r="D3">
            <v>75.944999999999993</v>
          </cell>
          <cell r="E3">
            <v>0.88100000000000001</v>
          </cell>
          <cell r="F3">
            <v>1</v>
          </cell>
          <cell r="G3">
            <v>5.5137</v>
          </cell>
          <cell r="H3">
            <v>4.4137000000000004</v>
          </cell>
          <cell r="I3">
            <v>3.2349999999999999</v>
          </cell>
          <cell r="J3">
            <v>0.308</v>
          </cell>
        </row>
        <row r="4">
          <cell r="C4">
            <v>26.34</v>
          </cell>
          <cell r="D4">
            <v>40.930999999999997</v>
          </cell>
          <cell r="E4">
            <v>1</v>
          </cell>
          <cell r="F4">
            <v>0</v>
          </cell>
          <cell r="G4">
            <v>5.79</v>
          </cell>
          <cell r="H4">
            <v>4.907</v>
          </cell>
          <cell r="I4">
            <v>4.1002000000000001</v>
          </cell>
          <cell r="J4">
            <v>0.61499999999999999</v>
          </cell>
        </row>
        <row r="5">
          <cell r="C5">
            <v>21.437999999999999</v>
          </cell>
          <cell r="D5">
            <v>76.049000000000007</v>
          </cell>
          <cell r="E5">
            <v>0.65100000000000002</v>
          </cell>
          <cell r="F5">
            <v>1</v>
          </cell>
          <cell r="G5">
            <v>6.1776</v>
          </cell>
          <cell r="H5">
            <v>5.7877000000000001</v>
          </cell>
          <cell r="I5">
            <v>2.5188999999999999</v>
          </cell>
          <cell r="J5">
            <v>7.6999999999999999E-2</v>
          </cell>
        </row>
        <row r="6">
          <cell r="C6">
            <v>29.001999999999999</v>
          </cell>
          <cell r="D6">
            <v>72.983999999999995</v>
          </cell>
          <cell r="E6">
            <v>1</v>
          </cell>
          <cell r="F6">
            <v>1</v>
          </cell>
          <cell r="G6">
            <v>6.4260999999999999</v>
          </cell>
          <cell r="H6">
            <v>4.5098000000000003</v>
          </cell>
          <cell r="I6">
            <v>3.0343</v>
          </cell>
          <cell r="J6">
            <v>0.53800000000000003</v>
          </cell>
        </row>
        <row r="7">
          <cell r="C7">
            <v>25.44</v>
          </cell>
          <cell r="D7">
            <v>36.698</v>
          </cell>
          <cell r="E7">
            <v>1</v>
          </cell>
          <cell r="F7">
            <v>0</v>
          </cell>
          <cell r="G7">
            <v>5.1826999999999996</v>
          </cell>
          <cell r="H7">
            <v>4.2210999999999999</v>
          </cell>
          <cell r="I7">
            <v>3.7736000000000001</v>
          </cell>
          <cell r="J7">
            <v>0.38500000000000001</v>
          </cell>
        </row>
        <row r="8">
          <cell r="C8">
            <v>25.04</v>
          </cell>
          <cell r="D8">
            <v>75.738</v>
          </cell>
          <cell r="E8">
            <v>1</v>
          </cell>
          <cell r="F8">
            <v>0</v>
          </cell>
          <cell r="G8">
            <v>5.6298000000000004</v>
          </cell>
          <cell r="H8">
            <v>4.2775999999999996</v>
          </cell>
          <cell r="I8">
            <v>3.5543</v>
          </cell>
          <cell r="J8">
            <v>7.6999999999999999E-2</v>
          </cell>
        </row>
        <row r="9">
          <cell r="C9">
            <v>25.88</v>
          </cell>
          <cell r="D9">
            <v>115.41800000000001</v>
          </cell>
          <cell r="E9">
            <v>1</v>
          </cell>
          <cell r="F9">
            <v>0</v>
          </cell>
          <cell r="G9">
            <v>6.4814999999999996</v>
          </cell>
          <cell r="H9">
            <v>3.6739000000000002</v>
          </cell>
          <cell r="I9">
            <v>3.2071000000000001</v>
          </cell>
          <cell r="J9">
            <v>0.154</v>
          </cell>
        </row>
        <row r="10">
          <cell r="C10">
            <v>26.32</v>
          </cell>
          <cell r="D10">
            <v>155.43799999999999</v>
          </cell>
          <cell r="E10">
            <v>1</v>
          </cell>
          <cell r="F10">
            <v>0</v>
          </cell>
          <cell r="G10">
            <v>5.9733000000000001</v>
          </cell>
          <cell r="H10">
            <v>4.1151</v>
          </cell>
          <cell r="I10">
            <v>2.4695999999999998</v>
          </cell>
          <cell r="J10">
            <v>0</v>
          </cell>
        </row>
        <row r="11">
          <cell r="C11">
            <v>24.7</v>
          </cell>
          <cell r="D11">
            <v>194.738</v>
          </cell>
          <cell r="E11">
            <v>1</v>
          </cell>
          <cell r="F11">
            <v>0</v>
          </cell>
          <cell r="G11">
            <v>4.8268000000000004</v>
          </cell>
          <cell r="H11">
            <v>4.4676999999999998</v>
          </cell>
          <cell r="I11">
            <v>2.8744999999999998</v>
          </cell>
          <cell r="J11">
            <v>0</v>
          </cell>
        </row>
      </sheetData>
      <sheetData sheetId="1">
        <row r="1">
          <cell r="C1" t="str">
            <v>LapDuration_s</v>
          </cell>
          <cell r="D1" t="str">
            <v>AttemptDuration_s</v>
          </cell>
          <cell r="E1" t="str">
            <v>LapProgress_0_1</v>
          </cell>
          <cell r="F1" t="str">
            <v>DeathOccurred</v>
          </cell>
          <cell r="G1" t="str">
            <v>MeanDeviation_m</v>
          </cell>
          <cell r="H1" t="str">
            <v>SpeedSD_mps</v>
          </cell>
          <cell r="I1" t="str">
            <v>MicroCorrectionsRate_per_s</v>
          </cell>
          <cell r="J1" t="str">
            <v>ObstacleHitRate</v>
          </cell>
        </row>
        <row r="2">
          <cell r="C2">
            <v>25.757000000000001</v>
          </cell>
          <cell r="D2">
            <v>107.452</v>
          </cell>
          <cell r="E2">
            <v>0.59699999999999998</v>
          </cell>
          <cell r="F2">
            <v>1</v>
          </cell>
          <cell r="G2">
            <v>18.916399999999999</v>
          </cell>
          <cell r="H2">
            <v>4.4793000000000003</v>
          </cell>
          <cell r="I2">
            <v>3.3776999999999999</v>
          </cell>
          <cell r="J2">
            <v>0.154</v>
          </cell>
        </row>
        <row r="3">
          <cell r="C3">
            <v>21.774000000000001</v>
          </cell>
          <cell r="D3">
            <v>35.917000000000002</v>
          </cell>
          <cell r="E3">
            <v>0.70599999999999996</v>
          </cell>
          <cell r="F3">
            <v>1</v>
          </cell>
          <cell r="G3">
            <v>5.8932000000000002</v>
          </cell>
          <cell r="H3">
            <v>4.7759</v>
          </cell>
          <cell r="I3">
            <v>5.1436999999999999</v>
          </cell>
          <cell r="J3">
            <v>0.23100000000000001</v>
          </cell>
        </row>
        <row r="4">
          <cell r="C4">
            <v>12.39</v>
          </cell>
          <cell r="D4">
            <v>22.696000000000002</v>
          </cell>
          <cell r="E4">
            <v>0.53</v>
          </cell>
          <cell r="F4">
            <v>1</v>
          </cell>
          <cell r="G4">
            <v>9.0327000000000002</v>
          </cell>
          <cell r="H4">
            <v>4.2930999999999999</v>
          </cell>
          <cell r="I4">
            <v>4.5198</v>
          </cell>
          <cell r="J4">
            <v>7.6999999999999999E-2</v>
          </cell>
        </row>
        <row r="5">
          <cell r="C5">
            <v>17.579999999999998</v>
          </cell>
          <cell r="D5">
            <v>27.887</v>
          </cell>
          <cell r="E5">
            <v>0.54100000000000004</v>
          </cell>
          <cell r="F5">
            <v>1</v>
          </cell>
          <cell r="G5">
            <v>13.8423</v>
          </cell>
          <cell r="H5">
            <v>6.0972999999999997</v>
          </cell>
          <cell r="I5">
            <v>4.7782</v>
          </cell>
          <cell r="J5">
            <v>0.154</v>
          </cell>
        </row>
        <row r="6">
          <cell r="C6">
            <v>16.538</v>
          </cell>
          <cell r="D6">
            <v>25.198</v>
          </cell>
          <cell r="E6">
            <v>0.58499999999999996</v>
          </cell>
          <cell r="F6">
            <v>1</v>
          </cell>
          <cell r="G6">
            <v>9.6374999999999993</v>
          </cell>
          <cell r="H6">
            <v>3.9729000000000001</v>
          </cell>
          <cell r="I6">
            <v>3.9302999999999999</v>
          </cell>
          <cell r="J6">
            <v>7.6999999999999999E-2</v>
          </cell>
        </row>
        <row r="7">
          <cell r="C7">
            <v>7.9160000000000004</v>
          </cell>
          <cell r="D7">
            <v>17.998000000000001</v>
          </cell>
          <cell r="E7">
            <v>0.45600000000000002</v>
          </cell>
          <cell r="F7">
            <v>1</v>
          </cell>
          <cell r="G7">
            <v>6.6009000000000002</v>
          </cell>
          <cell r="H7">
            <v>5.5148000000000001</v>
          </cell>
          <cell r="I7">
            <v>4.6738</v>
          </cell>
          <cell r="J7">
            <v>0</v>
          </cell>
        </row>
        <row r="8">
          <cell r="C8">
            <v>9.9760000000000009</v>
          </cell>
          <cell r="D8">
            <v>21.452000000000002</v>
          </cell>
          <cell r="E8">
            <v>0.48199999999999998</v>
          </cell>
          <cell r="F8">
            <v>1</v>
          </cell>
          <cell r="G8">
            <v>6.9053000000000004</v>
          </cell>
          <cell r="H8">
            <v>1.5108999999999999</v>
          </cell>
          <cell r="I8">
            <v>1.5036</v>
          </cell>
          <cell r="J8">
            <v>7.6999999999999999E-2</v>
          </cell>
        </row>
        <row r="9">
          <cell r="C9">
            <v>11.753</v>
          </cell>
          <cell r="D9">
            <v>21.059000000000001</v>
          </cell>
          <cell r="E9">
            <v>0.47899999999999998</v>
          </cell>
          <cell r="F9">
            <v>1</v>
          </cell>
          <cell r="G9">
            <v>7.3989000000000003</v>
          </cell>
          <cell r="H9">
            <v>5.3442999999999996</v>
          </cell>
          <cell r="I9">
            <v>3.7437</v>
          </cell>
          <cell r="J9">
            <v>0.154</v>
          </cell>
        </row>
        <row r="10">
          <cell r="C10">
            <v>26.36</v>
          </cell>
          <cell r="D10">
            <v>39.567</v>
          </cell>
          <cell r="E10">
            <v>1</v>
          </cell>
          <cell r="F10">
            <v>0</v>
          </cell>
          <cell r="G10">
            <v>8.3610000000000007</v>
          </cell>
          <cell r="H10">
            <v>4.6101999999999999</v>
          </cell>
          <cell r="I10">
            <v>6.0697999999999999</v>
          </cell>
          <cell r="J10">
            <v>0.53800000000000003</v>
          </cell>
        </row>
        <row r="11">
          <cell r="C11">
            <v>10.347</v>
          </cell>
          <cell r="D11">
            <v>63.054000000000002</v>
          </cell>
          <cell r="E11">
            <v>0.41599999999999998</v>
          </cell>
          <cell r="F11">
            <v>1</v>
          </cell>
          <cell r="G11">
            <v>11.077</v>
          </cell>
          <cell r="H11">
            <v>4.9276999999999997</v>
          </cell>
          <cell r="I11">
            <v>1.0630999999999999</v>
          </cell>
          <cell r="J11">
            <v>7.6999999999999999E-2</v>
          </cell>
        </row>
      </sheetData>
      <sheetData sheetId="2">
        <row r="1">
          <cell r="C1" t="str">
            <v>LapDuration_s</v>
          </cell>
          <cell r="D1" t="str">
            <v>AttemptDuration_s</v>
          </cell>
          <cell r="E1" t="str">
            <v>LapProgress_0_1</v>
          </cell>
          <cell r="F1" t="str">
            <v>DeathOccurred</v>
          </cell>
          <cell r="G1" t="str">
            <v>MeanDeviation_m</v>
          </cell>
          <cell r="H1" t="str">
            <v>SpeedSD_mps</v>
          </cell>
          <cell r="I1" t="str">
            <v>MicroCorrectionsRate_per_s</v>
          </cell>
          <cell r="J1" t="str">
            <v>ObstacleHitRate</v>
          </cell>
        </row>
        <row r="2">
          <cell r="C2">
            <v>16.41</v>
          </cell>
          <cell r="D2">
            <v>27.559000000000001</v>
          </cell>
          <cell r="E2">
            <v>0.56100000000000005</v>
          </cell>
          <cell r="F2">
            <v>1</v>
          </cell>
          <cell r="G2">
            <v>8.3755000000000006</v>
          </cell>
          <cell r="H2">
            <v>4.8901000000000003</v>
          </cell>
          <cell r="I2">
            <v>3.2907000000000002</v>
          </cell>
          <cell r="J2">
            <v>0.23100000000000001</v>
          </cell>
        </row>
        <row r="3">
          <cell r="C3">
            <v>15.535</v>
          </cell>
          <cell r="D3">
            <v>25.465</v>
          </cell>
          <cell r="E3">
            <v>0.57499999999999996</v>
          </cell>
          <cell r="F3">
            <v>1</v>
          </cell>
          <cell r="G3">
            <v>12.3674</v>
          </cell>
          <cell r="H3">
            <v>5.4271000000000003</v>
          </cell>
          <cell r="I3">
            <v>5.9865000000000004</v>
          </cell>
          <cell r="J3">
            <v>0.308</v>
          </cell>
        </row>
        <row r="4">
          <cell r="C4">
            <v>16.542999999999999</v>
          </cell>
          <cell r="D4">
            <v>27.448</v>
          </cell>
          <cell r="E4">
            <v>0.56100000000000005</v>
          </cell>
          <cell r="F4">
            <v>1</v>
          </cell>
          <cell r="G4">
            <v>6.6691000000000003</v>
          </cell>
          <cell r="H4">
            <v>5.6039000000000003</v>
          </cell>
          <cell r="I4">
            <v>2.9015</v>
          </cell>
          <cell r="J4">
            <v>0.23100000000000001</v>
          </cell>
        </row>
        <row r="5">
          <cell r="C5">
            <v>7.7110000000000003</v>
          </cell>
          <cell r="D5">
            <v>17.448</v>
          </cell>
          <cell r="E5">
            <v>0.35599999999999998</v>
          </cell>
          <cell r="F5">
            <v>1</v>
          </cell>
          <cell r="G5">
            <v>7.6067</v>
          </cell>
          <cell r="H5">
            <v>5.7981999999999996</v>
          </cell>
          <cell r="I5">
            <v>3.3715999999999999</v>
          </cell>
          <cell r="J5">
            <v>7.6999999999999999E-2</v>
          </cell>
        </row>
        <row r="6">
          <cell r="C6">
            <v>8.0280000000000005</v>
          </cell>
          <cell r="D6">
            <v>18.756</v>
          </cell>
          <cell r="E6">
            <v>0.42599999999999999</v>
          </cell>
          <cell r="F6">
            <v>1</v>
          </cell>
          <cell r="G6">
            <v>8.86</v>
          </cell>
          <cell r="H6">
            <v>3.7170000000000001</v>
          </cell>
          <cell r="I6">
            <v>4.4844999999999997</v>
          </cell>
          <cell r="J6">
            <v>7.6999999999999999E-2</v>
          </cell>
        </row>
        <row r="7">
          <cell r="C7">
            <v>13.489000000000001</v>
          </cell>
          <cell r="D7">
            <v>23.100999999999999</v>
          </cell>
          <cell r="E7">
            <v>0.52600000000000002</v>
          </cell>
          <cell r="F7">
            <v>1</v>
          </cell>
          <cell r="G7">
            <v>9.9792000000000005</v>
          </cell>
          <cell r="H7">
            <v>4.2004000000000001</v>
          </cell>
          <cell r="I7">
            <v>3.1879</v>
          </cell>
          <cell r="J7">
            <v>0.23100000000000001</v>
          </cell>
        </row>
        <row r="8">
          <cell r="C8">
            <v>25.257999999999999</v>
          </cell>
          <cell r="D8">
            <v>36.308999999999997</v>
          </cell>
          <cell r="E8">
            <v>0.86499999999999999</v>
          </cell>
          <cell r="F8">
            <v>1</v>
          </cell>
          <cell r="G8">
            <v>9.4907000000000004</v>
          </cell>
          <cell r="H8">
            <v>5.5204000000000004</v>
          </cell>
          <cell r="I8">
            <v>4.4739000000000004</v>
          </cell>
          <cell r="J8">
            <v>0.46200000000000002</v>
          </cell>
        </row>
        <row r="9">
          <cell r="C9">
            <v>25</v>
          </cell>
          <cell r="D9">
            <v>37.021999999999998</v>
          </cell>
          <cell r="E9">
            <v>1</v>
          </cell>
          <cell r="F9">
            <v>0</v>
          </cell>
          <cell r="G9">
            <v>9.5505999999999993</v>
          </cell>
          <cell r="H9">
            <v>4.5004</v>
          </cell>
          <cell r="I9">
            <v>5.32</v>
          </cell>
          <cell r="J9">
            <v>0.308</v>
          </cell>
        </row>
        <row r="10">
          <cell r="C10">
            <v>25.82</v>
          </cell>
          <cell r="D10">
            <v>77.182000000000002</v>
          </cell>
          <cell r="E10">
            <v>1</v>
          </cell>
          <cell r="F10">
            <v>0</v>
          </cell>
          <cell r="G10">
            <v>8.3469999999999995</v>
          </cell>
          <cell r="H10">
            <v>4.3030999999999997</v>
          </cell>
          <cell r="I10">
            <v>4.4927000000000001</v>
          </cell>
          <cell r="J10">
            <v>0.38500000000000001</v>
          </cell>
        </row>
        <row r="11">
          <cell r="C11">
            <v>25.44</v>
          </cell>
          <cell r="D11">
            <v>116.44199999999999</v>
          </cell>
          <cell r="E11">
            <v>1</v>
          </cell>
          <cell r="F11">
            <v>0</v>
          </cell>
          <cell r="G11">
            <v>8.2250999999999994</v>
          </cell>
          <cell r="H11">
            <v>4.8548999999999998</v>
          </cell>
          <cell r="I11">
            <v>5.1494</v>
          </cell>
          <cell r="J11">
            <v>0.23100000000000001</v>
          </cell>
        </row>
      </sheetData>
      <sheetData sheetId="3">
        <row r="1">
          <cell r="C1" t="str">
            <v>LapDuration_s</v>
          </cell>
          <cell r="D1" t="str">
            <v>AttemptDuration_s</v>
          </cell>
          <cell r="E1" t="str">
            <v>LapProgress_0_1</v>
          </cell>
          <cell r="F1" t="str">
            <v>DeathOccurred</v>
          </cell>
          <cell r="G1" t="str">
            <v>MeanDeviation_m</v>
          </cell>
          <cell r="H1" t="str">
            <v>SpeedSD_mps</v>
          </cell>
          <cell r="I1" t="str">
            <v>MicroCorrectionsRate_per_s</v>
          </cell>
          <cell r="J1" t="str">
            <v>ObstacleHitRate</v>
          </cell>
        </row>
        <row r="2">
          <cell r="C2">
            <v>25.18</v>
          </cell>
          <cell r="D2">
            <v>43.02</v>
          </cell>
          <cell r="E2">
            <v>1</v>
          </cell>
          <cell r="F2">
            <v>0</v>
          </cell>
          <cell r="G2">
            <v>10.085100000000001</v>
          </cell>
          <cell r="H2">
            <v>4.3558000000000003</v>
          </cell>
          <cell r="I2">
            <v>2.9786000000000001</v>
          </cell>
          <cell r="J2">
            <v>4</v>
          </cell>
        </row>
        <row r="3">
          <cell r="C3">
            <v>16.899000000000001</v>
          </cell>
          <cell r="D3">
            <v>44.853000000000002</v>
          </cell>
          <cell r="E3">
            <v>0.66700000000000004</v>
          </cell>
          <cell r="F3">
            <v>1</v>
          </cell>
          <cell r="G3">
            <v>5.3795000000000002</v>
          </cell>
          <cell r="H3">
            <v>3.4552999999999998</v>
          </cell>
          <cell r="I3">
            <v>1.006</v>
          </cell>
          <cell r="J3">
            <v>0.154</v>
          </cell>
        </row>
        <row r="4">
          <cell r="C4">
            <v>25.6</v>
          </cell>
          <cell r="D4">
            <v>42.680999999999997</v>
          </cell>
          <cell r="E4">
            <v>1</v>
          </cell>
          <cell r="F4">
            <v>0</v>
          </cell>
          <cell r="G4">
            <v>8.5625</v>
          </cell>
          <cell r="H4">
            <v>3.9199000000000002</v>
          </cell>
          <cell r="I4">
            <v>2.7343999999999999</v>
          </cell>
          <cell r="J4">
            <v>0.23100000000000001</v>
          </cell>
        </row>
        <row r="5">
          <cell r="C5">
            <v>25.76</v>
          </cell>
          <cell r="D5">
            <v>82.460999999999999</v>
          </cell>
          <cell r="E5">
            <v>1</v>
          </cell>
          <cell r="F5">
            <v>0</v>
          </cell>
          <cell r="G5">
            <v>7.5945</v>
          </cell>
          <cell r="H5">
            <v>2.8715000000000002</v>
          </cell>
          <cell r="I5">
            <v>2.5232999999999999</v>
          </cell>
          <cell r="J5">
            <v>0.154</v>
          </cell>
        </row>
        <row r="6">
          <cell r="C6">
            <v>24.477</v>
          </cell>
          <cell r="D6">
            <v>120.818</v>
          </cell>
          <cell r="E6">
            <v>0.85199999999999998</v>
          </cell>
          <cell r="F6">
            <v>1</v>
          </cell>
          <cell r="G6">
            <v>9.2401999999999997</v>
          </cell>
          <cell r="H6">
            <v>3.2726000000000002</v>
          </cell>
          <cell r="I6">
            <v>1.8385</v>
          </cell>
          <cell r="J6">
            <v>7.6999999999999999E-2</v>
          </cell>
        </row>
        <row r="7">
          <cell r="C7">
            <v>25.4</v>
          </cell>
          <cell r="D7">
            <v>41.582999999999998</v>
          </cell>
          <cell r="E7">
            <v>1</v>
          </cell>
          <cell r="F7">
            <v>0</v>
          </cell>
          <cell r="G7">
            <v>8.6750000000000007</v>
          </cell>
          <cell r="H7">
            <v>3.4539</v>
          </cell>
          <cell r="I7">
            <v>1.8504</v>
          </cell>
          <cell r="J7">
            <v>0.46200000000000002</v>
          </cell>
        </row>
        <row r="8">
          <cell r="C8">
            <v>25.88</v>
          </cell>
          <cell r="D8">
            <v>81.162999999999997</v>
          </cell>
          <cell r="E8">
            <v>1</v>
          </cell>
          <cell r="F8">
            <v>0</v>
          </cell>
          <cell r="G8">
            <v>8.9855</v>
          </cell>
          <cell r="H8">
            <v>3.1602000000000001</v>
          </cell>
          <cell r="I8">
            <v>2.3184</v>
          </cell>
          <cell r="J8">
            <v>7.6999999999999999E-2</v>
          </cell>
        </row>
        <row r="9">
          <cell r="C9">
            <v>25.78</v>
          </cell>
          <cell r="D9">
            <v>121.203</v>
          </cell>
          <cell r="E9">
            <v>1</v>
          </cell>
          <cell r="F9">
            <v>0</v>
          </cell>
          <cell r="G9">
            <v>8.9777000000000005</v>
          </cell>
          <cell r="H9">
            <v>3.1103000000000001</v>
          </cell>
          <cell r="I9">
            <v>2.9868000000000001</v>
          </cell>
          <cell r="J9">
            <v>7.6999999999999999E-2</v>
          </cell>
        </row>
      </sheetData>
      <sheetData sheetId="4">
        <row r="1">
          <cell r="C1" t="str">
            <v>LapDuration_s</v>
          </cell>
          <cell r="D1" t="str">
            <v>AttemptDuration_s</v>
          </cell>
          <cell r="E1" t="str">
            <v>LapProgress_0_1</v>
          </cell>
          <cell r="F1" t="str">
            <v>DeathOccurred</v>
          </cell>
          <cell r="G1" t="str">
            <v>MeanDeviation_m</v>
          </cell>
          <cell r="H1" t="str">
            <v>SpeedSD_mps</v>
          </cell>
          <cell r="I1" t="str">
            <v>MicroCorrectionsRate_per_s</v>
          </cell>
          <cell r="J1" t="str">
            <v>ObstacleHitRate</v>
          </cell>
        </row>
        <row r="2">
          <cell r="C2">
            <v>7.3079999999999998</v>
          </cell>
          <cell r="D2">
            <v>16.843</v>
          </cell>
          <cell r="E2">
            <v>0.40699999999999997</v>
          </cell>
          <cell r="F2">
            <v>1</v>
          </cell>
          <cell r="G2">
            <v>5.8901000000000003</v>
          </cell>
          <cell r="H2">
            <v>5.1772999999999998</v>
          </cell>
          <cell r="I2">
            <v>2.6</v>
          </cell>
          <cell r="J2">
            <v>0</v>
          </cell>
        </row>
        <row r="3">
          <cell r="C3">
            <v>6.835</v>
          </cell>
          <cell r="D3">
            <v>17.404</v>
          </cell>
          <cell r="E3">
            <v>0.35499999999999998</v>
          </cell>
          <cell r="F3">
            <v>1</v>
          </cell>
          <cell r="G3">
            <v>5.8674999999999997</v>
          </cell>
          <cell r="H3">
            <v>3.7791000000000001</v>
          </cell>
          <cell r="I3">
            <v>1.9019999999999999</v>
          </cell>
          <cell r="J3">
            <v>7.6999999999999999E-2</v>
          </cell>
        </row>
        <row r="4">
          <cell r="C4">
            <v>7.8239999999999998</v>
          </cell>
          <cell r="D4">
            <v>30.524999999999999</v>
          </cell>
          <cell r="E4">
            <v>0.35499999999999998</v>
          </cell>
          <cell r="F4">
            <v>1</v>
          </cell>
          <cell r="G4">
            <v>5.0259</v>
          </cell>
          <cell r="H4">
            <v>3.2829000000000002</v>
          </cell>
          <cell r="I4">
            <v>2.5562</v>
          </cell>
          <cell r="J4">
            <v>7.6999999999999999E-2</v>
          </cell>
        </row>
        <row r="5">
          <cell r="C5">
            <v>3.9359999999999999</v>
          </cell>
          <cell r="D5">
            <v>22.861999999999998</v>
          </cell>
          <cell r="E5">
            <v>0.29899999999999999</v>
          </cell>
          <cell r="F5">
            <v>1</v>
          </cell>
          <cell r="G5">
            <v>6.1246999999999998</v>
          </cell>
          <cell r="H5">
            <v>2.5966999999999998</v>
          </cell>
          <cell r="I5">
            <v>3.3027000000000002</v>
          </cell>
          <cell r="J5">
            <v>0</v>
          </cell>
        </row>
        <row r="6">
          <cell r="C6">
            <v>9.6980000000000004</v>
          </cell>
          <cell r="D6">
            <v>35.801000000000002</v>
          </cell>
          <cell r="E6">
            <v>0.40400000000000003</v>
          </cell>
          <cell r="F6">
            <v>1</v>
          </cell>
          <cell r="G6">
            <v>11.9992</v>
          </cell>
          <cell r="H6">
            <v>6.1073000000000004</v>
          </cell>
          <cell r="I6">
            <v>4.7431999999999999</v>
          </cell>
          <cell r="J6">
            <v>0</v>
          </cell>
        </row>
        <row r="7">
          <cell r="C7">
            <v>25.6</v>
          </cell>
          <cell r="D7">
            <v>44.502000000000002</v>
          </cell>
          <cell r="E7">
            <v>1</v>
          </cell>
          <cell r="F7">
            <v>0</v>
          </cell>
          <cell r="G7">
            <v>5.8449</v>
          </cell>
          <cell r="H7">
            <v>4.0762</v>
          </cell>
          <cell r="I7">
            <v>3.6718999999999999</v>
          </cell>
          <cell r="J7">
            <v>0.23100000000000001</v>
          </cell>
        </row>
        <row r="8">
          <cell r="C8">
            <v>4.4630000000000001</v>
          </cell>
          <cell r="D8">
            <v>209.71600000000001</v>
          </cell>
          <cell r="E8">
            <v>0.28199999999999997</v>
          </cell>
          <cell r="F8">
            <v>1</v>
          </cell>
          <cell r="G8">
            <v>4.1121999999999996</v>
          </cell>
          <cell r="H8">
            <v>4.5191999999999997</v>
          </cell>
          <cell r="I8">
            <v>3.1368999999999998</v>
          </cell>
          <cell r="J8">
            <v>0</v>
          </cell>
        </row>
        <row r="9">
          <cell r="C9">
            <v>4.4249999999999998</v>
          </cell>
          <cell r="D9">
            <v>35.302</v>
          </cell>
          <cell r="E9">
            <v>1</v>
          </cell>
          <cell r="F9">
            <v>1</v>
          </cell>
          <cell r="G9">
            <v>9.0486000000000004</v>
          </cell>
          <cell r="H9">
            <v>2.347</v>
          </cell>
          <cell r="I9">
            <v>0.67800000000000005</v>
          </cell>
          <cell r="J9">
            <v>0</v>
          </cell>
        </row>
        <row r="10">
          <cell r="C10">
            <v>3.7610000000000001</v>
          </cell>
          <cell r="D10">
            <v>16.896000000000001</v>
          </cell>
          <cell r="E10">
            <v>1</v>
          </cell>
          <cell r="F10">
            <v>1</v>
          </cell>
          <cell r="G10">
            <v>11.804500000000001</v>
          </cell>
          <cell r="H10">
            <v>1.8147</v>
          </cell>
          <cell r="I10">
            <v>0.53180000000000005</v>
          </cell>
          <cell r="J10">
            <v>0</v>
          </cell>
        </row>
      </sheetData>
      <sheetData sheetId="5">
        <row r="1">
          <cell r="C1" t="str">
            <v>LapDuration_s</v>
          </cell>
          <cell r="D1" t="str">
            <v>AttemptDuration_s</v>
          </cell>
          <cell r="E1" t="str">
            <v>LapProgress_0_1</v>
          </cell>
          <cell r="F1" t="str">
            <v>DeathOccurred</v>
          </cell>
          <cell r="G1" t="str">
            <v>MeanDeviation_m</v>
          </cell>
          <cell r="H1" t="str">
            <v>SpeedSD_mps</v>
          </cell>
          <cell r="I1" t="str">
            <v>MicroCorrectionsRate_per_s</v>
          </cell>
          <cell r="J1" t="str">
            <v>ObstacleHitRate</v>
          </cell>
        </row>
        <row r="2">
          <cell r="C2">
            <v>10.964</v>
          </cell>
          <cell r="D2">
            <v>25.094000000000001</v>
          </cell>
          <cell r="E2">
            <v>0.51</v>
          </cell>
          <cell r="F2">
            <v>1</v>
          </cell>
          <cell r="G2">
            <v>7.8239999999999998</v>
          </cell>
          <cell r="H2">
            <v>4.3038999999999996</v>
          </cell>
          <cell r="I2">
            <v>2.4626999999999999</v>
          </cell>
          <cell r="J2">
            <v>0</v>
          </cell>
        </row>
        <row r="3">
          <cell r="C3">
            <v>27.42</v>
          </cell>
          <cell r="D3">
            <v>42.137</v>
          </cell>
          <cell r="E3">
            <v>0.75700000000000001</v>
          </cell>
          <cell r="F3">
            <v>1</v>
          </cell>
          <cell r="G3">
            <v>11.6045</v>
          </cell>
          <cell r="H3">
            <v>3.3801000000000001</v>
          </cell>
          <cell r="I3">
            <v>2.3704999999999998</v>
          </cell>
          <cell r="J3">
            <v>0.23100000000000001</v>
          </cell>
        </row>
        <row r="4">
          <cell r="C4">
            <v>29.861999999999998</v>
          </cell>
          <cell r="D4">
            <v>47.360999999999997</v>
          </cell>
          <cell r="E4">
            <v>0.89100000000000001</v>
          </cell>
          <cell r="F4">
            <v>1</v>
          </cell>
          <cell r="G4">
            <v>6.5959000000000003</v>
          </cell>
          <cell r="H4">
            <v>4.1287000000000003</v>
          </cell>
          <cell r="I4">
            <v>2.9468999999999999</v>
          </cell>
          <cell r="J4">
            <v>0.23100000000000001</v>
          </cell>
        </row>
        <row r="5">
          <cell r="C5">
            <v>21.466999999999999</v>
          </cell>
          <cell r="D5">
            <v>30.864999999999998</v>
          </cell>
          <cell r="E5">
            <v>0.70899999999999996</v>
          </cell>
          <cell r="F5">
            <v>1</v>
          </cell>
          <cell r="G5">
            <v>7.7264999999999997</v>
          </cell>
          <cell r="H5">
            <v>5.0223000000000004</v>
          </cell>
          <cell r="I5">
            <v>1.3043</v>
          </cell>
          <cell r="J5">
            <v>7.6999999999999999E-2</v>
          </cell>
        </row>
        <row r="6">
          <cell r="C6">
            <v>28.818999999999999</v>
          </cell>
          <cell r="D6">
            <v>36.892000000000003</v>
          </cell>
          <cell r="E6">
            <v>1</v>
          </cell>
          <cell r="F6">
            <v>1</v>
          </cell>
          <cell r="G6">
            <v>8.3969000000000005</v>
          </cell>
          <cell r="H6">
            <v>4.5834000000000001</v>
          </cell>
          <cell r="I6">
            <v>2.7759999999999998</v>
          </cell>
          <cell r="J6">
            <v>0.23100000000000001</v>
          </cell>
        </row>
        <row r="7">
          <cell r="C7">
            <v>9.8580000000000005</v>
          </cell>
          <cell r="D7">
            <v>26.658999999999999</v>
          </cell>
          <cell r="E7">
            <v>0.42699999999999999</v>
          </cell>
          <cell r="F7">
            <v>1</v>
          </cell>
          <cell r="G7">
            <v>11.5365</v>
          </cell>
          <cell r="H7">
            <v>1.8439000000000001</v>
          </cell>
          <cell r="I7">
            <v>0.71009999999999995</v>
          </cell>
          <cell r="J7">
            <v>0</v>
          </cell>
        </row>
        <row r="8">
          <cell r="C8">
            <v>19.402999999999999</v>
          </cell>
          <cell r="D8">
            <v>28.925000000000001</v>
          </cell>
          <cell r="E8">
            <v>0.68200000000000005</v>
          </cell>
          <cell r="F8">
            <v>1</v>
          </cell>
          <cell r="G8">
            <v>9.3305000000000007</v>
          </cell>
          <cell r="H8">
            <v>5.0747999999999998</v>
          </cell>
          <cell r="I8">
            <v>2.3706999999999998</v>
          </cell>
          <cell r="J8">
            <v>0.308</v>
          </cell>
        </row>
        <row r="9">
          <cell r="C9">
            <v>10.981999999999999</v>
          </cell>
          <cell r="D9">
            <v>20.779</v>
          </cell>
          <cell r="E9">
            <v>0.437</v>
          </cell>
          <cell r="F9">
            <v>1</v>
          </cell>
          <cell r="G9">
            <v>7.9297000000000004</v>
          </cell>
          <cell r="H9">
            <v>2.1046999999999998</v>
          </cell>
          <cell r="I9">
            <v>3.6421999999999999</v>
          </cell>
          <cell r="J9">
            <v>0</v>
          </cell>
        </row>
        <row r="10">
          <cell r="C10">
            <v>25.26</v>
          </cell>
          <cell r="D10">
            <v>43.317999999999998</v>
          </cell>
          <cell r="E10">
            <v>1</v>
          </cell>
          <cell r="F10">
            <v>0</v>
          </cell>
          <cell r="G10">
            <v>7.6684999999999999</v>
          </cell>
          <cell r="H10">
            <v>5.3312999999999997</v>
          </cell>
          <cell r="I10">
            <v>2.3357000000000001</v>
          </cell>
          <cell r="J10">
            <v>0.308</v>
          </cell>
        </row>
        <row r="11">
          <cell r="C11">
            <v>14.837999999999999</v>
          </cell>
          <cell r="D11">
            <v>72.555999999999997</v>
          </cell>
          <cell r="E11">
            <v>0.56499999999999995</v>
          </cell>
          <cell r="F11">
            <v>1</v>
          </cell>
          <cell r="G11">
            <v>6.1620999999999997</v>
          </cell>
          <cell r="H11">
            <v>4.5876999999999999</v>
          </cell>
          <cell r="I11">
            <v>0.80869999999999997</v>
          </cell>
          <cell r="J11">
            <v>0.154</v>
          </cell>
        </row>
        <row r="12">
          <cell r="C12">
            <v>9.4969999999999999</v>
          </cell>
          <cell r="D12">
            <v>18.722000000000001</v>
          </cell>
          <cell r="E12">
            <v>0.45800000000000002</v>
          </cell>
          <cell r="F12">
            <v>1</v>
          </cell>
          <cell r="G12">
            <v>4.0362999999999998</v>
          </cell>
          <cell r="H12">
            <v>3.4504999999999999</v>
          </cell>
          <cell r="I12">
            <v>2.0007000000000001</v>
          </cell>
          <cell r="J12">
            <v>7.6999999999999999E-2</v>
          </cell>
        </row>
        <row r="13">
          <cell r="C13">
            <v>18.481999999999999</v>
          </cell>
          <cell r="D13">
            <v>28.704999999999998</v>
          </cell>
          <cell r="E13">
            <v>0.68200000000000005</v>
          </cell>
          <cell r="F13">
            <v>1</v>
          </cell>
          <cell r="G13">
            <v>6.8391999999999999</v>
          </cell>
          <cell r="H13">
            <v>3.7509000000000001</v>
          </cell>
          <cell r="I13">
            <v>2.0019999999999998</v>
          </cell>
          <cell r="J13">
            <v>0.23100000000000001</v>
          </cell>
        </row>
        <row r="14">
          <cell r="C14">
            <v>10.35</v>
          </cell>
          <cell r="D14">
            <v>19.707999999999998</v>
          </cell>
          <cell r="E14">
            <v>0.434</v>
          </cell>
          <cell r="F14">
            <v>1</v>
          </cell>
          <cell r="G14">
            <v>4.0239000000000003</v>
          </cell>
          <cell r="H14">
            <v>2.9836</v>
          </cell>
          <cell r="I14">
            <v>2.8984999999999999</v>
          </cell>
          <cell r="J14">
            <v>0</v>
          </cell>
        </row>
        <row r="15">
          <cell r="C15">
            <v>26.501999999999999</v>
          </cell>
          <cell r="D15">
            <v>37.072000000000003</v>
          </cell>
          <cell r="E15">
            <v>1</v>
          </cell>
          <cell r="F15">
            <v>1</v>
          </cell>
          <cell r="G15">
            <v>11.5871</v>
          </cell>
          <cell r="H15">
            <v>4.3735999999999997</v>
          </cell>
          <cell r="I15">
            <v>1.6601999999999999</v>
          </cell>
          <cell r="J15">
            <v>0.154</v>
          </cell>
        </row>
        <row r="16">
          <cell r="C16">
            <v>21.678000000000001</v>
          </cell>
          <cell r="D16">
            <v>30.114999999999998</v>
          </cell>
          <cell r="E16">
            <v>0.75700000000000001</v>
          </cell>
          <cell r="F16">
            <v>1</v>
          </cell>
          <cell r="G16">
            <v>7.9348000000000001</v>
          </cell>
          <cell r="H16">
            <v>4.9237000000000002</v>
          </cell>
          <cell r="I16">
            <v>1.2917000000000001</v>
          </cell>
          <cell r="J16">
            <v>0.308</v>
          </cell>
        </row>
        <row r="17">
          <cell r="C17">
            <v>19.251999999999999</v>
          </cell>
          <cell r="D17">
            <v>30.853999999999999</v>
          </cell>
          <cell r="E17">
            <v>0.68200000000000005</v>
          </cell>
          <cell r="F17">
            <v>1</v>
          </cell>
          <cell r="G17">
            <v>11.943099999999999</v>
          </cell>
          <cell r="H17">
            <v>3.2917000000000001</v>
          </cell>
          <cell r="I17">
            <v>0.9869</v>
          </cell>
          <cell r="J17">
            <v>0.154</v>
          </cell>
        </row>
        <row r="18">
          <cell r="C18">
            <v>9.0489999999999995</v>
          </cell>
          <cell r="D18">
            <v>18.417000000000002</v>
          </cell>
          <cell r="E18">
            <v>0.505</v>
          </cell>
          <cell r="F18">
            <v>1</v>
          </cell>
          <cell r="G18">
            <v>8.6034000000000006</v>
          </cell>
          <cell r="H18">
            <v>4.7866</v>
          </cell>
          <cell r="I18">
            <v>3.3153000000000001</v>
          </cell>
          <cell r="J18">
            <v>0</v>
          </cell>
        </row>
        <row r="19">
          <cell r="C19">
            <v>9.5980000000000008</v>
          </cell>
          <cell r="D19">
            <v>23.309000000000001</v>
          </cell>
          <cell r="E19">
            <v>0.41</v>
          </cell>
          <cell r="F19">
            <v>1</v>
          </cell>
          <cell r="G19">
            <v>5.1721000000000004</v>
          </cell>
          <cell r="H19">
            <v>1.9345000000000001</v>
          </cell>
          <cell r="I19">
            <v>0.31259999999999999</v>
          </cell>
          <cell r="J19">
            <v>0</v>
          </cell>
        </row>
        <row r="20">
          <cell r="C20">
            <v>21.105</v>
          </cell>
          <cell r="D20">
            <v>32.046999999999997</v>
          </cell>
          <cell r="E20">
            <v>0.77</v>
          </cell>
          <cell r="F20">
            <v>1</v>
          </cell>
          <cell r="G20">
            <v>8.5693000000000001</v>
          </cell>
          <cell r="H20">
            <v>3.5546000000000002</v>
          </cell>
          <cell r="I20">
            <v>3.3168000000000002</v>
          </cell>
          <cell r="J20">
            <v>7.6999999999999999E-2</v>
          </cell>
        </row>
        <row r="21">
          <cell r="C21">
            <v>19.651</v>
          </cell>
          <cell r="D21">
            <v>29.826000000000001</v>
          </cell>
          <cell r="E21">
            <v>0.67400000000000004</v>
          </cell>
          <cell r="F21">
            <v>1</v>
          </cell>
          <cell r="G21">
            <v>11.036799999999999</v>
          </cell>
          <cell r="H21">
            <v>4.9004000000000003</v>
          </cell>
          <cell r="I21">
            <v>3.5112000000000001</v>
          </cell>
          <cell r="J21">
            <v>0.23100000000000001</v>
          </cell>
        </row>
        <row r="22">
          <cell r="C22">
            <v>25.86</v>
          </cell>
          <cell r="D22">
            <v>34.469000000000001</v>
          </cell>
          <cell r="E22">
            <v>1</v>
          </cell>
          <cell r="F22">
            <v>0</v>
          </cell>
          <cell r="G22">
            <v>8.3383000000000003</v>
          </cell>
          <cell r="H22">
            <v>4.7659000000000002</v>
          </cell>
          <cell r="I22">
            <v>3.5190000000000001</v>
          </cell>
          <cell r="J22">
            <v>0.69199999999999995</v>
          </cell>
        </row>
        <row r="23">
          <cell r="C23">
            <v>11.943</v>
          </cell>
          <cell r="D23">
            <v>60.631999999999998</v>
          </cell>
          <cell r="E23">
            <v>0.505</v>
          </cell>
          <cell r="F23">
            <v>1</v>
          </cell>
          <cell r="G23">
            <v>13.562200000000001</v>
          </cell>
          <cell r="H23">
            <v>1.4551000000000001</v>
          </cell>
          <cell r="I23">
            <v>0.25119999999999998</v>
          </cell>
          <cell r="J23">
            <v>0</v>
          </cell>
        </row>
        <row r="24">
          <cell r="C24">
            <v>25.710999999999999</v>
          </cell>
          <cell r="D24">
            <v>35.408000000000001</v>
          </cell>
          <cell r="E24">
            <v>0.86099999999999999</v>
          </cell>
          <cell r="F24">
            <v>1</v>
          </cell>
          <cell r="G24">
            <v>10.501300000000001</v>
          </cell>
          <cell r="H24">
            <v>3.7902999999999998</v>
          </cell>
          <cell r="I24">
            <v>2.3725000000000001</v>
          </cell>
          <cell r="J24">
            <v>0.23100000000000001</v>
          </cell>
        </row>
        <row r="25">
          <cell r="C25">
            <v>17.292000000000002</v>
          </cell>
          <cell r="D25">
            <v>30.14</v>
          </cell>
          <cell r="E25">
            <v>0.59199999999999997</v>
          </cell>
          <cell r="F25">
            <v>1</v>
          </cell>
          <cell r="G25">
            <v>15.402699999999999</v>
          </cell>
          <cell r="H25">
            <v>2.6713</v>
          </cell>
          <cell r="I25">
            <v>0.28920000000000001</v>
          </cell>
          <cell r="J25">
            <v>7.6999999999999999E-2</v>
          </cell>
        </row>
        <row r="26">
          <cell r="C26">
            <v>26.18</v>
          </cell>
          <cell r="D26">
            <v>35.128</v>
          </cell>
          <cell r="E26">
            <v>1</v>
          </cell>
          <cell r="F26">
            <v>0</v>
          </cell>
          <cell r="G26">
            <v>6.8045999999999998</v>
          </cell>
          <cell r="H26">
            <v>4.6726999999999999</v>
          </cell>
          <cell r="I26">
            <v>1.9862</v>
          </cell>
          <cell r="J26">
            <v>0.154</v>
          </cell>
        </row>
        <row r="27">
          <cell r="C27">
            <v>20</v>
          </cell>
          <cell r="D27">
            <v>30.077999999999999</v>
          </cell>
          <cell r="E27">
            <v>0.68200000000000005</v>
          </cell>
          <cell r="F27">
            <v>1</v>
          </cell>
          <cell r="G27">
            <v>11.6126</v>
          </cell>
          <cell r="H27">
            <v>3.1254</v>
          </cell>
          <cell r="I27">
            <v>0.45</v>
          </cell>
          <cell r="J27">
            <v>7.6999999999999999E-2</v>
          </cell>
        </row>
        <row r="28">
          <cell r="C28">
            <v>19.225000000000001</v>
          </cell>
          <cell r="D28">
            <v>28.745999999999999</v>
          </cell>
          <cell r="E28">
            <v>0.67400000000000004</v>
          </cell>
          <cell r="F28">
            <v>1</v>
          </cell>
          <cell r="G28">
            <v>9.9257000000000009</v>
          </cell>
          <cell r="H28">
            <v>3.9091</v>
          </cell>
          <cell r="I28">
            <v>2.8088000000000002</v>
          </cell>
          <cell r="J28">
            <v>0.23100000000000001</v>
          </cell>
        </row>
        <row r="29">
          <cell r="C29">
            <v>18.739999999999998</v>
          </cell>
          <cell r="D29">
            <v>27.495000000000001</v>
          </cell>
          <cell r="E29">
            <v>0.63800000000000001</v>
          </cell>
          <cell r="F29">
            <v>1</v>
          </cell>
          <cell r="G29">
            <v>9.4678000000000004</v>
          </cell>
          <cell r="H29">
            <v>4.1848000000000001</v>
          </cell>
          <cell r="I29">
            <v>1.921</v>
          </cell>
          <cell r="J29">
            <v>0.154</v>
          </cell>
        </row>
        <row r="30">
          <cell r="C30">
            <v>25.276</v>
          </cell>
          <cell r="D30">
            <v>36.216000000000001</v>
          </cell>
          <cell r="E30">
            <v>0.89800000000000002</v>
          </cell>
          <cell r="F30">
            <v>1</v>
          </cell>
          <cell r="G30">
            <v>9.7684999999999995</v>
          </cell>
          <cell r="H30">
            <v>3.5305</v>
          </cell>
          <cell r="I30">
            <v>2.4925000000000002</v>
          </cell>
          <cell r="J30">
            <v>0.23100000000000001</v>
          </cell>
        </row>
        <row r="31">
          <cell r="C31">
            <v>19.14</v>
          </cell>
          <cell r="D31">
            <v>28.184000000000001</v>
          </cell>
          <cell r="E31">
            <v>0.64600000000000002</v>
          </cell>
          <cell r="F31">
            <v>1</v>
          </cell>
          <cell r="G31">
            <v>9.8341999999999992</v>
          </cell>
          <cell r="H31">
            <v>3.8952</v>
          </cell>
          <cell r="I31">
            <v>2.7168000000000001</v>
          </cell>
          <cell r="J31">
            <v>0.23100000000000001</v>
          </cell>
        </row>
        <row r="32">
          <cell r="C32">
            <v>25.5</v>
          </cell>
          <cell r="D32">
            <v>34.520000000000003</v>
          </cell>
          <cell r="E32">
            <v>1</v>
          </cell>
          <cell r="F32">
            <v>0</v>
          </cell>
          <cell r="G32">
            <v>8.5380000000000003</v>
          </cell>
          <cell r="H32">
            <v>4.1717000000000004</v>
          </cell>
          <cell r="I32">
            <v>2.7450999999999999</v>
          </cell>
          <cell r="J32">
            <v>0.23100000000000001</v>
          </cell>
        </row>
        <row r="33">
          <cell r="C33">
            <v>24.42</v>
          </cell>
          <cell r="D33">
            <v>74.58</v>
          </cell>
          <cell r="E33">
            <v>1</v>
          </cell>
          <cell r="F33">
            <v>0</v>
          </cell>
          <cell r="G33">
            <v>7.3806000000000003</v>
          </cell>
          <cell r="H33">
            <v>3.6073</v>
          </cell>
          <cell r="I33">
            <v>2.7435999999999998</v>
          </cell>
          <cell r="J33">
            <v>0</v>
          </cell>
        </row>
      </sheetData>
      <sheetData sheetId="6">
        <row r="1">
          <cell r="C1" t="str">
            <v>LapDuration_s</v>
          </cell>
          <cell r="D1" t="str">
            <v>AttemptDuration_s</v>
          </cell>
          <cell r="E1" t="str">
            <v>LapProgress_0_1</v>
          </cell>
          <cell r="F1" t="str">
            <v>DeathOccurred</v>
          </cell>
          <cell r="G1" t="str">
            <v>MeanDeviation_m</v>
          </cell>
          <cell r="H1" t="str">
            <v>SpeedSD_mps</v>
          </cell>
          <cell r="I1" t="str">
            <v>MicroCorrectionsRate_per_s</v>
          </cell>
          <cell r="J1" t="str">
            <v>ObstacleHitRate</v>
          </cell>
        </row>
        <row r="2">
          <cell r="C2">
            <v>14.351000000000001</v>
          </cell>
          <cell r="D2">
            <v>53.697000000000003</v>
          </cell>
          <cell r="E2">
            <v>0.505</v>
          </cell>
          <cell r="F2">
            <v>1</v>
          </cell>
          <cell r="G2">
            <v>12.111700000000001</v>
          </cell>
          <cell r="H2">
            <v>3.5754999999999999</v>
          </cell>
          <cell r="I2">
            <v>1.2543</v>
          </cell>
          <cell r="J2">
            <v>7.6999999999999999E-2</v>
          </cell>
        </row>
        <row r="3">
          <cell r="C3">
            <v>18.096</v>
          </cell>
          <cell r="D3">
            <v>28.646999999999998</v>
          </cell>
          <cell r="E3">
            <v>0.66600000000000004</v>
          </cell>
          <cell r="F3">
            <v>1</v>
          </cell>
          <cell r="G3">
            <v>9.5382999999999996</v>
          </cell>
          <cell r="H3">
            <v>4.6211000000000002</v>
          </cell>
          <cell r="I3">
            <v>0.77370000000000005</v>
          </cell>
          <cell r="J3">
            <v>0.154</v>
          </cell>
        </row>
        <row r="4">
          <cell r="C4">
            <v>15.135999999999999</v>
          </cell>
          <cell r="D4">
            <v>27.6</v>
          </cell>
          <cell r="E4">
            <v>0.58799999999999997</v>
          </cell>
          <cell r="F4">
            <v>1</v>
          </cell>
          <cell r="G4">
            <v>5.3779000000000003</v>
          </cell>
          <cell r="H4">
            <v>3.1324999999999998</v>
          </cell>
          <cell r="I4">
            <v>2.3784000000000001</v>
          </cell>
          <cell r="J4">
            <v>7.6999999999999999E-2</v>
          </cell>
        </row>
        <row r="5">
          <cell r="C5">
            <v>20.190000000000001</v>
          </cell>
          <cell r="D5">
            <v>30.274000000000001</v>
          </cell>
          <cell r="E5">
            <v>0.68200000000000005</v>
          </cell>
          <cell r="F5">
            <v>1</v>
          </cell>
          <cell r="G5">
            <v>10.1149</v>
          </cell>
          <cell r="H5">
            <v>4.3114999999999997</v>
          </cell>
          <cell r="I5">
            <v>2.0306999999999999</v>
          </cell>
          <cell r="J5">
            <v>0.308</v>
          </cell>
        </row>
        <row r="6">
          <cell r="C6">
            <v>24.98</v>
          </cell>
          <cell r="D6">
            <v>34.65</v>
          </cell>
          <cell r="E6">
            <v>1</v>
          </cell>
          <cell r="F6">
            <v>0</v>
          </cell>
          <cell r="G6">
            <v>8.9413999999999998</v>
          </cell>
          <cell r="H6">
            <v>4.4637000000000002</v>
          </cell>
          <cell r="I6">
            <v>4.5636000000000001</v>
          </cell>
          <cell r="J6">
            <v>0.154</v>
          </cell>
        </row>
        <row r="7">
          <cell r="C7">
            <v>26.760999999999999</v>
          </cell>
          <cell r="D7">
            <v>75.311000000000007</v>
          </cell>
          <cell r="E7">
            <v>0.97699999999999998</v>
          </cell>
          <cell r="F7">
            <v>1</v>
          </cell>
          <cell r="G7">
            <v>12.067</v>
          </cell>
          <cell r="H7">
            <v>1.8032999999999999</v>
          </cell>
          <cell r="I7">
            <v>1.1584000000000001</v>
          </cell>
          <cell r="J7">
            <v>0</v>
          </cell>
        </row>
        <row r="8">
          <cell r="C8">
            <v>24.007999999999999</v>
          </cell>
          <cell r="D8">
            <v>34.006999999999998</v>
          </cell>
          <cell r="E8">
            <v>0.82799999999999996</v>
          </cell>
          <cell r="F8">
            <v>1</v>
          </cell>
          <cell r="G8">
            <v>11.100099999999999</v>
          </cell>
          <cell r="H8">
            <v>4.0445000000000002</v>
          </cell>
          <cell r="I8">
            <v>3.7486999999999999</v>
          </cell>
          <cell r="J8">
            <v>0.154</v>
          </cell>
        </row>
        <row r="9">
          <cell r="C9">
            <v>29.657</v>
          </cell>
          <cell r="D9">
            <v>45.948</v>
          </cell>
          <cell r="E9">
            <v>1</v>
          </cell>
          <cell r="F9">
            <v>1</v>
          </cell>
          <cell r="G9">
            <v>9.0680999999999994</v>
          </cell>
          <cell r="H9">
            <v>4.6939000000000002</v>
          </cell>
          <cell r="I9">
            <v>2.7313000000000001</v>
          </cell>
          <cell r="J9">
            <v>0.38500000000000001</v>
          </cell>
        </row>
        <row r="10">
          <cell r="C10">
            <v>20.001000000000001</v>
          </cell>
          <cell r="D10">
            <v>30.445</v>
          </cell>
          <cell r="E10">
            <v>0.64600000000000002</v>
          </cell>
          <cell r="F10">
            <v>1</v>
          </cell>
          <cell r="G10">
            <v>10.4397</v>
          </cell>
          <cell r="H10">
            <v>3.0710000000000002</v>
          </cell>
          <cell r="I10">
            <v>1.8998999999999999</v>
          </cell>
          <cell r="J10">
            <v>7.6999999999999999E-2</v>
          </cell>
        </row>
        <row r="11">
          <cell r="C11">
            <v>28.297999999999998</v>
          </cell>
          <cell r="D11">
            <v>39.216999999999999</v>
          </cell>
          <cell r="E11">
            <v>0.99099999999999999</v>
          </cell>
          <cell r="F11">
            <v>1</v>
          </cell>
          <cell r="G11">
            <v>9.3792000000000009</v>
          </cell>
          <cell r="H11">
            <v>3.9889000000000001</v>
          </cell>
          <cell r="I11">
            <v>2.8976999999999999</v>
          </cell>
          <cell r="J11">
            <v>0.154</v>
          </cell>
        </row>
        <row r="12">
          <cell r="C12">
            <v>14.667</v>
          </cell>
          <cell r="D12">
            <v>25.189</v>
          </cell>
          <cell r="E12">
            <v>0.56799999999999995</v>
          </cell>
          <cell r="F12">
            <v>1</v>
          </cell>
          <cell r="G12">
            <v>8.6896000000000004</v>
          </cell>
          <cell r="H12">
            <v>3.8754</v>
          </cell>
          <cell r="I12">
            <v>1.2954000000000001</v>
          </cell>
          <cell r="J12">
            <v>7.6999999999999999E-2</v>
          </cell>
        </row>
        <row r="13">
          <cell r="C13">
            <v>52.308</v>
          </cell>
          <cell r="D13">
            <v>61.640999999999998</v>
          </cell>
          <cell r="E13">
            <v>1</v>
          </cell>
          <cell r="F13">
            <v>1</v>
          </cell>
          <cell r="G13">
            <v>10.747400000000001</v>
          </cell>
          <cell r="H13">
            <v>3.7730000000000001</v>
          </cell>
          <cell r="I13">
            <v>2.8675999999999999</v>
          </cell>
          <cell r="J13">
            <v>0</v>
          </cell>
        </row>
        <row r="14">
          <cell r="C14">
            <v>24.623000000000001</v>
          </cell>
          <cell r="D14">
            <v>33.935000000000002</v>
          </cell>
          <cell r="E14">
            <v>0.85699999999999998</v>
          </cell>
          <cell r="F14">
            <v>1</v>
          </cell>
          <cell r="G14">
            <v>10.9368</v>
          </cell>
          <cell r="H14">
            <v>3.8026</v>
          </cell>
          <cell r="I14">
            <v>2.6804000000000001</v>
          </cell>
          <cell r="J14">
            <v>0.154</v>
          </cell>
        </row>
        <row r="15">
          <cell r="C15">
            <v>25</v>
          </cell>
          <cell r="D15">
            <v>34.677</v>
          </cell>
          <cell r="E15">
            <v>1</v>
          </cell>
          <cell r="F15">
            <v>0</v>
          </cell>
          <cell r="G15">
            <v>11.390599999999999</v>
          </cell>
          <cell r="H15">
            <v>3.9026000000000001</v>
          </cell>
          <cell r="I15">
            <v>4.16</v>
          </cell>
          <cell r="J15">
            <v>0.308</v>
          </cell>
        </row>
        <row r="16">
          <cell r="C16">
            <v>17.788</v>
          </cell>
          <cell r="D16">
            <v>66.784000000000006</v>
          </cell>
          <cell r="E16">
            <v>0.66300000000000003</v>
          </cell>
          <cell r="F16">
            <v>1</v>
          </cell>
          <cell r="G16">
            <v>7.0480999999999998</v>
          </cell>
          <cell r="H16">
            <v>4.3263999999999996</v>
          </cell>
          <cell r="I16">
            <v>3.0358000000000001</v>
          </cell>
          <cell r="J16">
            <v>0.154</v>
          </cell>
        </row>
        <row r="17">
          <cell r="C17">
            <v>24.042000000000002</v>
          </cell>
          <cell r="D17">
            <v>34.893999999999998</v>
          </cell>
          <cell r="E17">
            <v>0.80300000000000005</v>
          </cell>
          <cell r="F17">
            <v>1</v>
          </cell>
          <cell r="G17">
            <v>9.6926000000000005</v>
          </cell>
          <cell r="H17">
            <v>2.9763999999999999</v>
          </cell>
          <cell r="I17">
            <v>3.1612</v>
          </cell>
          <cell r="J17">
            <v>7.6999999999999999E-2</v>
          </cell>
        </row>
        <row r="18">
          <cell r="C18">
            <v>25.38</v>
          </cell>
          <cell r="D18">
            <v>47.738999999999997</v>
          </cell>
          <cell r="E18">
            <v>1</v>
          </cell>
          <cell r="F18">
            <v>0</v>
          </cell>
          <cell r="G18">
            <v>11.169499999999999</v>
          </cell>
          <cell r="H18">
            <v>3.7160000000000002</v>
          </cell>
          <cell r="I18">
            <v>2.8763000000000001</v>
          </cell>
          <cell r="J18">
            <v>0.23100000000000001</v>
          </cell>
        </row>
      </sheetData>
      <sheetData sheetId="7">
        <row r="1">
          <cell r="C1" t="str">
            <v>LapDuration_s</v>
          </cell>
          <cell r="D1" t="str">
            <v>AttemptDuration_s</v>
          </cell>
          <cell r="E1" t="str">
            <v>LapProgress_0_1</v>
          </cell>
          <cell r="F1" t="str">
            <v>DeathOccurred</v>
          </cell>
          <cell r="G1" t="str">
            <v>MeanDeviation_m</v>
          </cell>
          <cell r="H1" t="str">
            <v>SpeedSD_mps</v>
          </cell>
          <cell r="I1" t="str">
            <v>MicroCorrectionsRate_per_s</v>
          </cell>
          <cell r="J1" t="str">
            <v>ObstacleHitRate</v>
          </cell>
        </row>
        <row r="2">
          <cell r="C2">
            <v>22.265999999999998</v>
          </cell>
          <cell r="D2">
            <v>38.149000000000001</v>
          </cell>
          <cell r="E2">
            <v>0.71199999999999997</v>
          </cell>
          <cell r="F2">
            <v>1</v>
          </cell>
          <cell r="G2">
            <v>12.719099999999999</v>
          </cell>
          <cell r="H2">
            <v>3.6899000000000002</v>
          </cell>
          <cell r="I2">
            <v>0.4491</v>
          </cell>
          <cell r="J2">
            <v>0.38500000000000001</v>
          </cell>
        </row>
        <row r="3">
          <cell r="C3">
            <v>13.627000000000001</v>
          </cell>
          <cell r="D3">
            <v>26.361000000000001</v>
          </cell>
          <cell r="E3">
            <v>0.505</v>
          </cell>
          <cell r="F3">
            <v>1</v>
          </cell>
          <cell r="G3">
            <v>12.0562</v>
          </cell>
          <cell r="H3">
            <v>5.7698</v>
          </cell>
          <cell r="I3">
            <v>0.14680000000000001</v>
          </cell>
          <cell r="J3">
            <v>0.154</v>
          </cell>
        </row>
        <row r="4">
          <cell r="C4">
            <v>11.388</v>
          </cell>
          <cell r="D4">
            <v>24.381</v>
          </cell>
          <cell r="E4">
            <v>0.46500000000000002</v>
          </cell>
          <cell r="F4">
            <v>1</v>
          </cell>
          <cell r="G4">
            <v>8.3605999999999998</v>
          </cell>
          <cell r="H4">
            <v>4.9131999999999998</v>
          </cell>
          <cell r="I4">
            <v>0</v>
          </cell>
          <cell r="J4">
            <v>7.6999999999999999E-2</v>
          </cell>
        </row>
        <row r="5">
          <cell r="C5">
            <v>18.600000000000001</v>
          </cell>
          <cell r="D5">
            <v>30.032</v>
          </cell>
          <cell r="E5">
            <v>0.68200000000000005</v>
          </cell>
          <cell r="F5">
            <v>1</v>
          </cell>
          <cell r="G5">
            <v>11.7273</v>
          </cell>
          <cell r="H5">
            <v>4.2792000000000003</v>
          </cell>
          <cell r="I5">
            <v>0.6452</v>
          </cell>
          <cell r="J5">
            <v>0.38500000000000001</v>
          </cell>
        </row>
        <row r="6">
          <cell r="C6">
            <v>21.073</v>
          </cell>
          <cell r="D6">
            <v>48.177999999999997</v>
          </cell>
          <cell r="E6">
            <v>0.65200000000000002</v>
          </cell>
          <cell r="F6">
            <v>1</v>
          </cell>
          <cell r="G6">
            <v>8.4741999999999997</v>
          </cell>
          <cell r="H6">
            <v>5.7309999999999999</v>
          </cell>
          <cell r="I6">
            <v>0.71179999999999999</v>
          </cell>
          <cell r="J6">
            <v>0.308</v>
          </cell>
        </row>
        <row r="7">
          <cell r="C7">
            <v>11.76</v>
          </cell>
          <cell r="D7">
            <v>23.446999999999999</v>
          </cell>
          <cell r="E7">
            <v>0.51</v>
          </cell>
          <cell r="F7">
            <v>1</v>
          </cell>
          <cell r="G7">
            <v>3.7183000000000002</v>
          </cell>
          <cell r="H7">
            <v>4.3686999999999996</v>
          </cell>
          <cell r="I7">
            <v>1.1904999999999999</v>
          </cell>
          <cell r="J7">
            <v>0.154</v>
          </cell>
        </row>
        <row r="8">
          <cell r="C8">
            <v>25.5</v>
          </cell>
          <cell r="D8">
            <v>35.58</v>
          </cell>
          <cell r="E8">
            <v>1</v>
          </cell>
          <cell r="F8">
            <v>0</v>
          </cell>
          <cell r="G8">
            <v>11.3916</v>
          </cell>
          <cell r="H8">
            <v>3.0802999999999998</v>
          </cell>
          <cell r="I8">
            <v>2.0392000000000001</v>
          </cell>
          <cell r="J8">
            <v>0.308</v>
          </cell>
        </row>
        <row r="9">
          <cell r="C9">
            <v>16.045000000000002</v>
          </cell>
          <cell r="D9">
            <v>66.144999999999996</v>
          </cell>
          <cell r="E9">
            <v>0.54200000000000004</v>
          </cell>
          <cell r="F9">
            <v>1</v>
          </cell>
          <cell r="G9">
            <v>8.8077000000000005</v>
          </cell>
          <cell r="H9">
            <v>4.4328000000000003</v>
          </cell>
          <cell r="I9">
            <v>0.74790000000000001</v>
          </cell>
          <cell r="J9">
            <v>0.154</v>
          </cell>
        </row>
        <row r="10">
          <cell r="C10">
            <v>21.393999999999998</v>
          </cell>
          <cell r="D10">
            <v>32.268999999999998</v>
          </cell>
          <cell r="E10">
            <v>0.65200000000000002</v>
          </cell>
          <cell r="F10">
            <v>1</v>
          </cell>
          <cell r="G10">
            <v>7.6515000000000004</v>
          </cell>
          <cell r="H10">
            <v>4.41</v>
          </cell>
          <cell r="I10">
            <v>1.8229</v>
          </cell>
          <cell r="J10">
            <v>0.23100000000000001</v>
          </cell>
        </row>
        <row r="11">
          <cell r="C11">
            <v>15.613</v>
          </cell>
          <cell r="D11">
            <v>26.658999999999999</v>
          </cell>
          <cell r="E11">
            <v>0.53</v>
          </cell>
          <cell r="F11">
            <v>1</v>
          </cell>
          <cell r="G11">
            <v>11.161</v>
          </cell>
          <cell r="H11">
            <v>2.9470000000000001</v>
          </cell>
          <cell r="I11">
            <v>3.9710999999999999</v>
          </cell>
          <cell r="J11">
            <v>0.154</v>
          </cell>
        </row>
        <row r="12">
          <cell r="C12">
            <v>25.02</v>
          </cell>
          <cell r="D12">
            <v>35.866999999999997</v>
          </cell>
          <cell r="E12">
            <v>1</v>
          </cell>
          <cell r="F12">
            <v>0</v>
          </cell>
          <cell r="G12">
            <v>8.5099</v>
          </cell>
          <cell r="H12">
            <v>4.3323999999999998</v>
          </cell>
          <cell r="I12">
            <v>3.0375999999999999</v>
          </cell>
          <cell r="J12">
            <v>0.53800000000000003</v>
          </cell>
        </row>
        <row r="13">
          <cell r="C13">
            <v>24.071000000000002</v>
          </cell>
          <cell r="D13">
            <v>73.998000000000005</v>
          </cell>
          <cell r="E13">
            <v>0.84199999999999997</v>
          </cell>
          <cell r="F13">
            <v>1</v>
          </cell>
          <cell r="G13">
            <v>7.6127000000000002</v>
          </cell>
          <cell r="H13">
            <v>4.8007</v>
          </cell>
          <cell r="I13">
            <v>1.9525999999999999</v>
          </cell>
          <cell r="J13">
            <v>0.23100000000000001</v>
          </cell>
        </row>
        <row r="14">
          <cell r="C14">
            <v>13.365</v>
          </cell>
          <cell r="D14">
            <v>23.734000000000002</v>
          </cell>
          <cell r="E14">
            <v>0.505</v>
          </cell>
          <cell r="F14">
            <v>1</v>
          </cell>
          <cell r="G14">
            <v>12.9885</v>
          </cell>
          <cell r="H14">
            <v>4.4680999999999997</v>
          </cell>
          <cell r="I14">
            <v>2.5438999999999998</v>
          </cell>
          <cell r="J14">
            <v>0.154</v>
          </cell>
        </row>
        <row r="15">
          <cell r="C15">
            <v>22.036000000000001</v>
          </cell>
          <cell r="D15">
            <v>32.67</v>
          </cell>
          <cell r="E15">
            <v>0.67700000000000005</v>
          </cell>
          <cell r="F15">
            <v>1</v>
          </cell>
          <cell r="G15">
            <v>16.698699999999999</v>
          </cell>
          <cell r="H15">
            <v>3.5554000000000001</v>
          </cell>
          <cell r="I15">
            <v>0.99839999999999995</v>
          </cell>
          <cell r="J15">
            <v>0.308</v>
          </cell>
        </row>
        <row r="16">
          <cell r="C16">
            <v>16.795000000000002</v>
          </cell>
          <cell r="D16">
            <v>28.594000000000001</v>
          </cell>
          <cell r="E16">
            <v>0.61699999999999999</v>
          </cell>
          <cell r="F16">
            <v>1</v>
          </cell>
          <cell r="G16">
            <v>13.0741</v>
          </cell>
          <cell r="H16">
            <v>3.8877999999999999</v>
          </cell>
          <cell r="I16">
            <v>0.4763</v>
          </cell>
          <cell r="J16">
            <v>0.23100000000000001</v>
          </cell>
        </row>
        <row r="17">
          <cell r="C17">
            <v>20.167999999999999</v>
          </cell>
          <cell r="D17">
            <v>29.893000000000001</v>
          </cell>
          <cell r="E17">
            <v>0.70199999999999996</v>
          </cell>
          <cell r="F17">
            <v>1</v>
          </cell>
          <cell r="G17">
            <v>7.6623000000000001</v>
          </cell>
          <cell r="H17">
            <v>5.2629000000000001</v>
          </cell>
          <cell r="I17">
            <v>1.8841000000000001</v>
          </cell>
          <cell r="J17">
            <v>0.23100000000000001</v>
          </cell>
        </row>
        <row r="18">
          <cell r="C18">
            <v>17.600999999999999</v>
          </cell>
          <cell r="D18">
            <v>26.832000000000001</v>
          </cell>
          <cell r="E18">
            <v>0.61799999999999999</v>
          </cell>
          <cell r="F18">
            <v>1</v>
          </cell>
          <cell r="G18">
            <v>9.7683999999999997</v>
          </cell>
          <cell r="H18">
            <v>4.7737999999999996</v>
          </cell>
          <cell r="I18">
            <v>4.4317000000000002</v>
          </cell>
          <cell r="J18">
            <v>0.46200000000000002</v>
          </cell>
        </row>
        <row r="19">
          <cell r="C19">
            <v>8.2240000000000002</v>
          </cell>
          <cell r="D19">
            <v>16.062999999999999</v>
          </cell>
          <cell r="E19">
            <v>0.35599999999999998</v>
          </cell>
          <cell r="F19">
            <v>1</v>
          </cell>
          <cell r="G19">
            <v>7.4722999999999997</v>
          </cell>
          <cell r="H19">
            <v>5.0460000000000003</v>
          </cell>
          <cell r="I19">
            <v>1.8239000000000001</v>
          </cell>
          <cell r="J19">
            <v>7.6999999999999999E-2</v>
          </cell>
        </row>
        <row r="20">
          <cell r="C20">
            <v>26.407</v>
          </cell>
          <cell r="D20">
            <v>35.603000000000002</v>
          </cell>
          <cell r="E20">
            <v>0.95299999999999996</v>
          </cell>
          <cell r="F20">
            <v>1</v>
          </cell>
          <cell r="G20">
            <v>10.2958</v>
          </cell>
          <cell r="H20">
            <v>4.5053999999999998</v>
          </cell>
          <cell r="I20">
            <v>2.0828000000000002</v>
          </cell>
          <cell r="J20">
            <v>0.53800000000000003</v>
          </cell>
        </row>
        <row r="21">
          <cell r="C21">
            <v>24.8</v>
          </cell>
          <cell r="D21">
            <v>35.433</v>
          </cell>
          <cell r="E21">
            <v>1</v>
          </cell>
          <cell r="F21">
            <v>0</v>
          </cell>
          <cell r="G21">
            <v>7.3367000000000004</v>
          </cell>
          <cell r="H21">
            <v>3.5832999999999999</v>
          </cell>
          <cell r="I21">
            <v>4.0724999999999998</v>
          </cell>
          <cell r="J21">
            <v>0.53800000000000003</v>
          </cell>
        </row>
        <row r="22">
          <cell r="C22">
            <v>12.356999999999999</v>
          </cell>
          <cell r="D22">
            <v>61.75</v>
          </cell>
          <cell r="E22">
            <v>0.52500000000000002</v>
          </cell>
          <cell r="F22">
            <v>1</v>
          </cell>
          <cell r="G22">
            <v>6.891</v>
          </cell>
          <cell r="H22">
            <v>5.6898</v>
          </cell>
          <cell r="I22">
            <v>1.2138</v>
          </cell>
          <cell r="J22">
            <v>0.154</v>
          </cell>
        </row>
        <row r="23">
          <cell r="C23">
            <v>19.37</v>
          </cell>
          <cell r="D23">
            <v>28.812999999999999</v>
          </cell>
          <cell r="E23">
            <v>0.68200000000000005</v>
          </cell>
          <cell r="F23">
            <v>1</v>
          </cell>
          <cell r="G23">
            <v>10.116400000000001</v>
          </cell>
          <cell r="H23">
            <v>4.5335999999999999</v>
          </cell>
          <cell r="I23">
            <v>3.7686999999999999</v>
          </cell>
          <cell r="J23">
            <v>0.38500000000000001</v>
          </cell>
        </row>
        <row r="24">
          <cell r="C24">
            <v>12.045</v>
          </cell>
          <cell r="D24">
            <v>21.774999999999999</v>
          </cell>
          <cell r="E24">
            <v>0.48099999999999998</v>
          </cell>
          <cell r="F24">
            <v>1</v>
          </cell>
          <cell r="G24">
            <v>11.050700000000001</v>
          </cell>
          <cell r="H24">
            <v>3.2511000000000001</v>
          </cell>
          <cell r="I24">
            <v>3.819</v>
          </cell>
          <cell r="J24">
            <v>0.23100000000000001</v>
          </cell>
        </row>
        <row r="25">
          <cell r="C25">
            <v>23.17</v>
          </cell>
          <cell r="D25">
            <v>32.924999999999997</v>
          </cell>
          <cell r="E25">
            <v>0.81299999999999994</v>
          </cell>
          <cell r="F25">
            <v>1</v>
          </cell>
          <cell r="G25">
            <v>8.3504000000000005</v>
          </cell>
          <cell r="H25">
            <v>4.6725000000000003</v>
          </cell>
          <cell r="I25">
            <v>2.4601000000000002</v>
          </cell>
          <cell r="J25">
            <v>0.46200000000000002</v>
          </cell>
        </row>
        <row r="26">
          <cell r="C26">
            <v>25.2</v>
          </cell>
          <cell r="D26">
            <v>44.128</v>
          </cell>
          <cell r="E26">
            <v>1</v>
          </cell>
          <cell r="F26">
            <v>0</v>
          </cell>
          <cell r="G26">
            <v>7.8711000000000002</v>
          </cell>
          <cell r="H26">
            <v>3.6600999999999999</v>
          </cell>
          <cell r="I26">
            <v>3.6111</v>
          </cell>
          <cell r="J26">
            <v>0.61499999999999999</v>
          </cell>
        </row>
        <row r="27">
          <cell r="C27">
            <v>22.37</v>
          </cell>
          <cell r="D27">
            <v>81.117999999999995</v>
          </cell>
          <cell r="E27">
            <v>0.71299999999999997</v>
          </cell>
          <cell r="F27">
            <v>1</v>
          </cell>
          <cell r="G27">
            <v>7.2995000000000001</v>
          </cell>
          <cell r="H27">
            <v>5.2869000000000002</v>
          </cell>
          <cell r="I27">
            <v>3.4868000000000001</v>
          </cell>
          <cell r="J27">
            <v>0.38500000000000001</v>
          </cell>
        </row>
        <row r="28">
          <cell r="C28">
            <v>25.38</v>
          </cell>
          <cell r="D28">
            <v>36.89</v>
          </cell>
          <cell r="E28">
            <v>1</v>
          </cell>
          <cell r="F28">
            <v>0</v>
          </cell>
          <cell r="G28">
            <v>7.2568000000000001</v>
          </cell>
          <cell r="H28">
            <v>3.5196999999999998</v>
          </cell>
          <cell r="I28">
            <v>2.0095000000000001</v>
          </cell>
          <cell r="J28">
            <v>0.308</v>
          </cell>
        </row>
        <row r="29">
          <cell r="C29">
            <v>25.18</v>
          </cell>
          <cell r="D29">
            <v>76.27</v>
          </cell>
          <cell r="E29">
            <v>1</v>
          </cell>
          <cell r="F29">
            <v>0</v>
          </cell>
          <cell r="G29">
            <v>8.6433</v>
          </cell>
          <cell r="H29">
            <v>4.2789000000000001</v>
          </cell>
          <cell r="I29">
            <v>3.0183</v>
          </cell>
          <cell r="J29">
            <v>0.46200000000000002</v>
          </cell>
        </row>
        <row r="30">
          <cell r="C30">
            <v>11.871</v>
          </cell>
          <cell r="D30">
            <v>102.041</v>
          </cell>
          <cell r="E30">
            <v>0.498</v>
          </cell>
          <cell r="F30">
            <v>1</v>
          </cell>
          <cell r="G30">
            <v>10.5374</v>
          </cell>
          <cell r="H30">
            <v>2.7271000000000001</v>
          </cell>
          <cell r="I30">
            <v>1.0951</v>
          </cell>
          <cell r="J30">
            <v>0</v>
          </cell>
        </row>
        <row r="31">
          <cell r="C31">
            <v>19.324000000000002</v>
          </cell>
          <cell r="D31">
            <v>33.773000000000003</v>
          </cell>
          <cell r="E31">
            <v>0.73399999999999999</v>
          </cell>
          <cell r="F31">
            <v>1</v>
          </cell>
          <cell r="G31">
            <v>7.3094000000000001</v>
          </cell>
          <cell r="H31">
            <v>5.9005000000000001</v>
          </cell>
          <cell r="I31">
            <v>1.863</v>
          </cell>
          <cell r="J31">
            <v>0.38500000000000001</v>
          </cell>
        </row>
        <row r="32">
          <cell r="C32">
            <v>19.637</v>
          </cell>
          <cell r="D32">
            <v>32.393999999999998</v>
          </cell>
          <cell r="E32">
            <v>0.73299999999999998</v>
          </cell>
          <cell r="F32">
            <v>1</v>
          </cell>
          <cell r="G32">
            <v>8.7370999999999999</v>
          </cell>
          <cell r="H32">
            <v>4.0589000000000004</v>
          </cell>
          <cell r="I32">
            <v>0.71289999999999998</v>
          </cell>
          <cell r="J32">
            <v>0.23100000000000001</v>
          </cell>
        </row>
        <row r="33">
          <cell r="C33">
            <v>25.56</v>
          </cell>
          <cell r="D33">
            <v>37.103000000000002</v>
          </cell>
          <cell r="E33">
            <v>1</v>
          </cell>
          <cell r="F33">
            <v>0</v>
          </cell>
          <cell r="G33">
            <v>6.3959999999999999</v>
          </cell>
          <cell r="H33">
            <v>3.3172000000000001</v>
          </cell>
          <cell r="I33">
            <v>2.6604000000000001</v>
          </cell>
          <cell r="J33">
            <v>0.38500000000000001</v>
          </cell>
        </row>
        <row r="34">
          <cell r="C34">
            <v>9.141</v>
          </cell>
          <cell r="D34">
            <v>60.243000000000002</v>
          </cell>
          <cell r="E34">
            <v>0.442</v>
          </cell>
          <cell r="F34">
            <v>1</v>
          </cell>
          <cell r="G34">
            <v>3.9615999999999998</v>
          </cell>
          <cell r="H34">
            <v>4.2652000000000001</v>
          </cell>
          <cell r="I34">
            <v>1.0940000000000001</v>
          </cell>
          <cell r="J34">
            <v>0</v>
          </cell>
        </row>
        <row r="35">
          <cell r="C35">
            <v>24.32</v>
          </cell>
          <cell r="D35">
            <v>36.878999999999998</v>
          </cell>
          <cell r="E35">
            <v>1</v>
          </cell>
          <cell r="F35">
            <v>0</v>
          </cell>
          <cell r="G35">
            <v>9.1087000000000007</v>
          </cell>
          <cell r="H35">
            <v>4.0628000000000002</v>
          </cell>
          <cell r="I35">
            <v>3.4540000000000002</v>
          </cell>
          <cell r="J35">
            <v>0.61499999999999999</v>
          </cell>
        </row>
        <row r="36">
          <cell r="C36">
            <v>26.16</v>
          </cell>
          <cell r="D36">
            <v>77.22</v>
          </cell>
          <cell r="E36">
            <v>1</v>
          </cell>
          <cell r="F36">
            <v>0</v>
          </cell>
          <cell r="G36">
            <v>7.9435000000000002</v>
          </cell>
          <cell r="H36">
            <v>4.4302999999999999</v>
          </cell>
          <cell r="I36">
            <v>3.2109999999999999</v>
          </cell>
          <cell r="J36">
            <v>0.154</v>
          </cell>
        </row>
        <row r="37">
          <cell r="C37">
            <v>24.88</v>
          </cell>
          <cell r="D37">
            <v>116.5</v>
          </cell>
          <cell r="E37">
            <v>1</v>
          </cell>
          <cell r="F37">
            <v>0</v>
          </cell>
          <cell r="G37">
            <v>6.3285</v>
          </cell>
          <cell r="H37">
            <v>4.3676000000000004</v>
          </cell>
          <cell r="I37">
            <v>2.2507999999999999</v>
          </cell>
          <cell r="J37">
            <v>7.6999999999999999E-2</v>
          </cell>
        </row>
        <row r="38">
          <cell r="C38">
            <v>26.14</v>
          </cell>
          <cell r="D38">
            <v>156.1</v>
          </cell>
          <cell r="E38">
            <v>1</v>
          </cell>
          <cell r="F38">
            <v>0</v>
          </cell>
          <cell r="G38">
            <v>9.1470000000000002</v>
          </cell>
          <cell r="H38">
            <v>3.7488000000000001</v>
          </cell>
          <cell r="I38">
            <v>3.9403000000000001</v>
          </cell>
          <cell r="J38">
            <v>0</v>
          </cell>
        </row>
        <row r="39">
          <cell r="C39">
            <v>19.812999999999999</v>
          </cell>
          <cell r="D39">
            <v>189.57300000000001</v>
          </cell>
          <cell r="E39">
            <v>0.68200000000000005</v>
          </cell>
          <cell r="F39">
            <v>1</v>
          </cell>
          <cell r="G39">
            <v>8.9746000000000006</v>
          </cell>
          <cell r="H39">
            <v>3.1444999999999999</v>
          </cell>
          <cell r="I39">
            <v>1.2618</v>
          </cell>
          <cell r="J39">
            <v>0</v>
          </cell>
        </row>
      </sheetData>
      <sheetData sheetId="8">
        <row r="1">
          <cell r="C1" t="str">
            <v>LapDuration_s</v>
          </cell>
          <cell r="D1" t="str">
            <v>AttemptDuration_s</v>
          </cell>
          <cell r="E1" t="str">
            <v>LapProgress_0_1</v>
          </cell>
          <cell r="F1" t="str">
            <v>DeathOccurred</v>
          </cell>
          <cell r="G1" t="str">
            <v>MeanDeviation_m</v>
          </cell>
          <cell r="H1" t="str">
            <v>SpeedSD_mps</v>
          </cell>
          <cell r="I1" t="str">
            <v>MicroCorrectionsRate_per_s</v>
          </cell>
          <cell r="J1" t="str">
            <v>ObstacleHitRate</v>
          </cell>
        </row>
        <row r="2">
          <cell r="C2">
            <v>24.92</v>
          </cell>
          <cell r="D2">
            <v>35.037999999999997</v>
          </cell>
          <cell r="E2">
            <v>1</v>
          </cell>
          <cell r="F2">
            <v>0</v>
          </cell>
          <cell r="G2">
            <v>8.5220000000000002</v>
          </cell>
          <cell r="H2">
            <v>4.7796000000000003</v>
          </cell>
          <cell r="I2">
            <v>8.2664000000000009</v>
          </cell>
          <cell r="J2">
            <v>0.38500000000000001</v>
          </cell>
        </row>
        <row r="3">
          <cell r="C3">
            <v>25.42</v>
          </cell>
          <cell r="D3">
            <v>74.918000000000006</v>
          </cell>
          <cell r="E3">
            <v>1</v>
          </cell>
          <cell r="F3">
            <v>0</v>
          </cell>
          <cell r="G3">
            <v>8.4621999999999993</v>
          </cell>
          <cell r="H3">
            <v>4.5170000000000003</v>
          </cell>
          <cell r="I3">
            <v>9.0874000000000006</v>
          </cell>
          <cell r="J3">
            <v>0.23100000000000001</v>
          </cell>
        </row>
        <row r="4">
          <cell r="C4">
            <v>25.34</v>
          </cell>
          <cell r="D4">
            <v>114.458</v>
          </cell>
          <cell r="E4">
            <v>1</v>
          </cell>
          <cell r="F4">
            <v>0</v>
          </cell>
          <cell r="G4">
            <v>8.4229000000000003</v>
          </cell>
          <cell r="H4">
            <v>4.8178999999999998</v>
          </cell>
          <cell r="I4">
            <v>8.5634999999999994</v>
          </cell>
          <cell r="J4">
            <v>0.23100000000000001</v>
          </cell>
        </row>
        <row r="5">
          <cell r="C5">
            <v>25.36</v>
          </cell>
          <cell r="D5">
            <v>154.03800000000001</v>
          </cell>
          <cell r="E5">
            <v>1</v>
          </cell>
          <cell r="F5">
            <v>0</v>
          </cell>
          <cell r="G5">
            <v>9.3644999999999996</v>
          </cell>
          <cell r="H5">
            <v>5.1132</v>
          </cell>
          <cell r="I5">
            <v>5.1261999999999999</v>
          </cell>
          <cell r="J5">
            <v>0</v>
          </cell>
        </row>
      </sheetData>
      <sheetData sheetId="9">
        <row r="1">
          <cell r="C1" t="str">
            <v>LapDuration_s</v>
          </cell>
          <cell r="D1" t="str">
            <v>AttemptDuration_s</v>
          </cell>
          <cell r="E1" t="str">
            <v>LapProgress_0_1</v>
          </cell>
          <cell r="F1" t="str">
            <v>DeathOccurred</v>
          </cell>
          <cell r="G1" t="str">
            <v>MeanDeviation_m</v>
          </cell>
          <cell r="H1" t="str">
            <v>SpeedSD_mps</v>
          </cell>
          <cell r="I1" t="str">
            <v>MicroCorrectionsRate_per_s</v>
          </cell>
          <cell r="J1" t="str">
            <v>ObstacleHitRate</v>
          </cell>
        </row>
        <row r="2">
          <cell r="C2">
            <v>11.305999999999999</v>
          </cell>
          <cell r="D2">
            <v>97.945999999999998</v>
          </cell>
          <cell r="E2">
            <v>0.45900000000000002</v>
          </cell>
          <cell r="F2">
            <v>1</v>
          </cell>
          <cell r="G2">
            <v>14.4941</v>
          </cell>
          <cell r="H2">
            <v>4.2424999999999997</v>
          </cell>
          <cell r="I2">
            <v>1.8574999999999999</v>
          </cell>
          <cell r="J2">
            <v>1</v>
          </cell>
        </row>
        <row r="3">
          <cell r="C3">
            <v>11.07</v>
          </cell>
          <cell r="D3">
            <v>21.48</v>
          </cell>
          <cell r="E3">
            <v>0.47399999999999998</v>
          </cell>
          <cell r="F3">
            <v>1</v>
          </cell>
          <cell r="G3">
            <v>14.9674</v>
          </cell>
          <cell r="H3">
            <v>5.4749999999999996</v>
          </cell>
          <cell r="I3">
            <v>0.36130000000000001</v>
          </cell>
          <cell r="J3">
            <v>0.154</v>
          </cell>
        </row>
        <row r="4">
          <cell r="C4">
            <v>13.263</v>
          </cell>
          <cell r="D4">
            <v>170.893</v>
          </cell>
          <cell r="E4">
            <v>0.505</v>
          </cell>
          <cell r="F4">
            <v>1</v>
          </cell>
          <cell r="G4">
            <v>10.548999999999999</v>
          </cell>
          <cell r="H4">
            <v>3.5186000000000002</v>
          </cell>
          <cell r="I4">
            <v>0.377</v>
          </cell>
          <cell r="J4">
            <v>0.154</v>
          </cell>
        </row>
        <row r="5">
          <cell r="C5">
            <v>11.427</v>
          </cell>
          <cell r="D5">
            <v>21.244</v>
          </cell>
          <cell r="E5">
            <v>0.505</v>
          </cell>
          <cell r="F5">
            <v>1</v>
          </cell>
          <cell r="G5">
            <v>12.460800000000001</v>
          </cell>
          <cell r="H5">
            <v>3.7097000000000002</v>
          </cell>
          <cell r="I5">
            <v>1.7503</v>
          </cell>
          <cell r="J5">
            <v>0</v>
          </cell>
        </row>
        <row r="6">
          <cell r="C6">
            <v>12.768000000000001</v>
          </cell>
          <cell r="D6">
            <v>85.441000000000003</v>
          </cell>
          <cell r="E6">
            <v>0.505</v>
          </cell>
          <cell r="F6">
            <v>1</v>
          </cell>
          <cell r="G6">
            <v>10.122199999999999</v>
          </cell>
          <cell r="H6">
            <v>3.7132999999999998</v>
          </cell>
          <cell r="I6">
            <v>0.15659999999999999</v>
          </cell>
          <cell r="J6">
            <v>7.6999999999999999E-2</v>
          </cell>
        </row>
        <row r="7">
          <cell r="C7">
            <v>13.18</v>
          </cell>
          <cell r="D7">
            <v>31.013000000000002</v>
          </cell>
          <cell r="E7">
            <v>0.50800000000000001</v>
          </cell>
          <cell r="F7">
            <v>1</v>
          </cell>
          <cell r="G7">
            <v>11.948600000000001</v>
          </cell>
          <cell r="H7">
            <v>4.6040999999999999</v>
          </cell>
          <cell r="I7">
            <v>1.8968</v>
          </cell>
          <cell r="J7">
            <v>7.6999999999999999E-2</v>
          </cell>
        </row>
        <row r="8">
          <cell r="C8">
            <v>25.448</v>
          </cell>
          <cell r="D8">
            <v>99.507999999999996</v>
          </cell>
          <cell r="E8">
            <v>0.872</v>
          </cell>
          <cell r="F8">
            <v>1</v>
          </cell>
          <cell r="G8">
            <v>10.131600000000001</v>
          </cell>
          <cell r="H8">
            <v>4.0892999999999997</v>
          </cell>
          <cell r="I8">
            <v>3.5366</v>
          </cell>
          <cell r="J8">
            <v>0.308</v>
          </cell>
        </row>
      </sheetData>
      <sheetData sheetId="10">
        <row r="1">
          <cell r="C1" t="str">
            <v>LapDuration_s</v>
          </cell>
          <cell r="D1" t="str">
            <v>AttemptDuration_s</v>
          </cell>
          <cell r="E1" t="str">
            <v>LapProgress_0_1</v>
          </cell>
          <cell r="F1" t="str">
            <v>DeathOccurred</v>
          </cell>
          <cell r="G1" t="str">
            <v>MeanDeviation_m</v>
          </cell>
          <cell r="H1" t="str">
            <v>SpeedSD_mps</v>
          </cell>
          <cell r="I1" t="str">
            <v>MicroCorrectionsRate_per_s</v>
          </cell>
          <cell r="J1" t="str">
            <v>ObstacleHitRate</v>
          </cell>
        </row>
        <row r="2">
          <cell r="C2">
            <v>18.812000000000001</v>
          </cell>
          <cell r="D2">
            <v>61.097000000000001</v>
          </cell>
          <cell r="E2">
            <v>0.68200000000000005</v>
          </cell>
          <cell r="F2">
            <v>1</v>
          </cell>
          <cell r="G2">
            <v>9.0631000000000004</v>
          </cell>
          <cell r="H2">
            <v>3.9203000000000001</v>
          </cell>
          <cell r="I2">
            <v>4.1993999999999998</v>
          </cell>
          <cell r="J2">
            <v>0.38500000000000001</v>
          </cell>
        </row>
        <row r="3">
          <cell r="C3">
            <v>25.36</v>
          </cell>
          <cell r="D3">
            <v>36.328000000000003</v>
          </cell>
          <cell r="E3">
            <v>1</v>
          </cell>
          <cell r="F3">
            <v>0</v>
          </cell>
          <cell r="G3">
            <v>8.7861999999999991</v>
          </cell>
          <cell r="H3">
            <v>3.1185</v>
          </cell>
          <cell r="I3">
            <v>4.8106999999999998</v>
          </cell>
          <cell r="J3">
            <v>0.46200000000000002</v>
          </cell>
        </row>
        <row r="4">
          <cell r="C4">
            <v>11.474</v>
          </cell>
          <cell r="D4">
            <v>61.921999999999997</v>
          </cell>
          <cell r="E4">
            <v>0.375</v>
          </cell>
          <cell r="F4">
            <v>1</v>
          </cell>
          <cell r="G4">
            <v>7.0458999999999996</v>
          </cell>
          <cell r="H4">
            <v>3.3654000000000002</v>
          </cell>
          <cell r="I4">
            <v>1.3944000000000001</v>
          </cell>
          <cell r="J4">
            <v>7.6999999999999999E-2</v>
          </cell>
        </row>
        <row r="5">
          <cell r="C5">
            <v>25.64</v>
          </cell>
          <cell r="D5">
            <v>39.725999999999999</v>
          </cell>
          <cell r="E5">
            <v>1</v>
          </cell>
          <cell r="F5">
            <v>0</v>
          </cell>
          <cell r="G5">
            <v>8.0071999999999992</v>
          </cell>
          <cell r="H5">
            <v>3.9622000000000002</v>
          </cell>
          <cell r="I5">
            <v>5.1092000000000004</v>
          </cell>
          <cell r="J5">
            <v>0.61499999999999999</v>
          </cell>
        </row>
        <row r="6">
          <cell r="C6">
            <v>25.76</v>
          </cell>
          <cell r="D6">
            <v>79.006</v>
          </cell>
          <cell r="E6">
            <v>1</v>
          </cell>
          <cell r="F6">
            <v>0</v>
          </cell>
          <cell r="G6">
            <v>6.9264999999999999</v>
          </cell>
          <cell r="H6">
            <v>4.8956</v>
          </cell>
          <cell r="I6">
            <v>3.0668000000000002</v>
          </cell>
          <cell r="J6">
            <v>0.38500000000000001</v>
          </cell>
        </row>
        <row r="7">
          <cell r="C7">
            <v>7.5110000000000001</v>
          </cell>
          <cell r="D7">
            <v>100.736</v>
          </cell>
          <cell r="E7">
            <v>0.35599999999999998</v>
          </cell>
          <cell r="F7">
            <v>1</v>
          </cell>
          <cell r="G7">
            <v>5.0084</v>
          </cell>
          <cell r="H7">
            <v>4.9688999999999997</v>
          </cell>
          <cell r="I7">
            <v>0.53259999999999996</v>
          </cell>
          <cell r="J7">
            <v>0</v>
          </cell>
        </row>
      </sheetData>
      <sheetData sheetId="11">
        <row r="1">
          <cell r="C1" t="str">
            <v>LapDuration_s</v>
          </cell>
          <cell r="D1" t="str">
            <v>AttemptDuration_s</v>
          </cell>
          <cell r="E1" t="str">
            <v>LapProgress_0_1</v>
          </cell>
          <cell r="F1" t="str">
            <v>DeathOccurred</v>
          </cell>
          <cell r="G1" t="str">
            <v>MeanDeviation_m</v>
          </cell>
          <cell r="H1" t="str">
            <v>SpeedSD_mps</v>
          </cell>
          <cell r="I1" t="str">
            <v>MicroCorrectionsRate_per_s</v>
          </cell>
          <cell r="J1" t="str">
            <v>ObstacleHitRate</v>
          </cell>
        </row>
        <row r="2">
          <cell r="C2">
            <v>25.536000000000001</v>
          </cell>
          <cell r="D2">
            <v>592.12699999999995</v>
          </cell>
          <cell r="E2">
            <v>1</v>
          </cell>
          <cell r="F2">
            <v>1</v>
          </cell>
          <cell r="G2">
            <v>12.039199999999999</v>
          </cell>
          <cell r="H2">
            <v>3.6848999999999998</v>
          </cell>
          <cell r="I2">
            <v>1.6839</v>
          </cell>
          <cell r="J2">
            <v>0.23100000000000001</v>
          </cell>
        </row>
        <row r="3">
          <cell r="C3">
            <v>18.379000000000001</v>
          </cell>
          <cell r="D3">
            <v>27.382999999999999</v>
          </cell>
          <cell r="E3">
            <v>0.62</v>
          </cell>
          <cell r="F3">
            <v>1</v>
          </cell>
          <cell r="G3">
            <v>7.7229000000000001</v>
          </cell>
          <cell r="H3">
            <v>5.8217999999999996</v>
          </cell>
          <cell r="I3">
            <v>2.1764000000000001</v>
          </cell>
          <cell r="J3">
            <v>0.154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8AC69-C043-4012-8588-98DFAAC7CD33}">
  <dimension ref="A1:J31"/>
  <sheetViews>
    <sheetView tabSelected="1" workbookViewId="0"/>
  </sheetViews>
  <sheetFormatPr defaultRowHeight="14.4" x14ac:dyDescent="0.3"/>
  <cols>
    <col min="1" max="1" width="16.44140625" customWidth="1"/>
  </cols>
  <sheetData>
    <row r="1" spans="1:10" ht="19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9.2" customHeight="1" x14ac:dyDescent="0.3">
      <c r="A2" s="4" t="s">
        <v>10</v>
      </c>
      <c r="B2">
        <f>AVERAGE([1]AlexVargas!C:C)</f>
        <v>17.031000000000002</v>
      </c>
      <c r="C2">
        <f>AVERAGE([1]AlexVargas!D:D)</f>
        <v>32.941499999999998</v>
      </c>
      <c r="D2">
        <f>AVERAGE([1]AlexVargas!E:E)</f>
        <v>0.63450000000000006</v>
      </c>
      <c r="E2">
        <f>AVERAGE([1]AlexVargas!F:F)</f>
        <v>1</v>
      </c>
      <c r="F2">
        <f>AVERAGE([1]AlexVargas!G:G)</f>
        <v>10.795400000000001</v>
      </c>
      <c r="G2">
        <f>AVERAGE([1]AlexVargas!H:H)</f>
        <v>4.8765000000000001</v>
      </c>
      <c r="H2">
        <f>AVERAGE([1]AlexVargas!I:I)</f>
        <v>5.4647249999999996</v>
      </c>
      <c r="I2">
        <f>AVERAGE([1]AlexVargas!J:J)</f>
        <v>0.17325000000000002</v>
      </c>
      <c r="J2">
        <v>0</v>
      </c>
    </row>
    <row r="3" spans="1:10" ht="19.2" customHeight="1" x14ac:dyDescent="0.3">
      <c r="A3" s="4" t="s">
        <v>11</v>
      </c>
      <c r="B3">
        <f>AVERAGE([1]AntoFlores!C:C)</f>
        <v>20.630842105263156</v>
      </c>
      <c r="C3">
        <f>AVERAGE([1]AntoFlores!D:D)</f>
        <v>45.101631578947369</v>
      </c>
      <c r="D3">
        <f>AVERAGE([1]AntoFlores!E:E)</f>
        <v>0.72878947368421054</v>
      </c>
      <c r="E3">
        <f>AVERAGE([1]AntoFlores!F:F)</f>
        <v>0.78947368421052633</v>
      </c>
      <c r="F3">
        <f>AVERAGE([1]AntoFlores!G:G)</f>
        <v>9.1304210526315774</v>
      </c>
      <c r="G3">
        <f>AVERAGE([1]AntoFlores!H:H)</f>
        <v>4.4306263157894747</v>
      </c>
      <c r="H3">
        <f>AVERAGE([1]AntoFlores!I:I)</f>
        <v>1.9293210526315785</v>
      </c>
      <c r="I3">
        <f>AVERAGE([1]AntoFlores!J:J)</f>
        <v>0.25526315789473686</v>
      </c>
      <c r="J3">
        <v>0</v>
      </c>
    </row>
    <row r="4" spans="1:10" ht="19.2" customHeight="1" x14ac:dyDescent="0.3">
      <c r="A4" s="4" t="s">
        <v>12</v>
      </c>
      <c r="B4">
        <f>AVERAGE([1]BenjaCarrasco!C:C)</f>
        <v>20.783666666666665</v>
      </c>
      <c r="C4">
        <f>AVERAGE([1]BenjaCarrasco!D:D)</f>
        <v>41.077666666666666</v>
      </c>
      <c r="D4">
        <f>AVERAGE([1]BenjaCarrasco!E:E)</f>
        <v>0.76466666666666672</v>
      </c>
      <c r="E4">
        <f>AVERAGE([1]BenjaCarrasco!F:F)</f>
        <v>0.66666666666666663</v>
      </c>
      <c r="F4">
        <f>AVERAGE([1]BenjaCarrasco!G:G)</f>
        <v>7.8354333333333335</v>
      </c>
      <c r="G4">
        <f>AVERAGE([1]BenjaCarrasco!H:H)</f>
        <v>3.9490333333333338</v>
      </c>
      <c r="H4">
        <f>AVERAGE([1]BenjaCarrasco!I:I)</f>
        <v>5.8978000000000002</v>
      </c>
      <c r="I4">
        <f>AVERAGE([1]BenjaCarrasco!J:J)</f>
        <v>0.17966666666666667</v>
      </c>
      <c r="J4">
        <v>1</v>
      </c>
    </row>
    <row r="5" spans="1:10" ht="19.2" customHeight="1" x14ac:dyDescent="0.3">
      <c r="A5" s="4" t="s">
        <v>13</v>
      </c>
      <c r="B5">
        <f>AVERAGE([1]CamilaCarrascoBaier!C:C)</f>
        <v>11.7974</v>
      </c>
      <c r="C5">
        <f>AVERAGE([1]CamilaCarrascoBaier!D:D)</f>
        <v>23.613533333333329</v>
      </c>
      <c r="D5">
        <f>AVERAGE([1]CamilaCarrascoBaier!E:E)</f>
        <v>0.49426666666666663</v>
      </c>
      <c r="E5">
        <f>AVERAGE([1]CamilaCarrascoBaier!F:F)</f>
        <v>0.93333333333333335</v>
      </c>
      <c r="F5">
        <f>AVERAGE([1]CamilaCarrascoBaier!G:G)</f>
        <v>7.7123533333333318</v>
      </c>
      <c r="G5">
        <f>AVERAGE([1]CamilaCarrascoBaier!H:H)</f>
        <v>3.9873000000000003</v>
      </c>
      <c r="H5">
        <f>AVERAGE([1]CamilaCarrascoBaier!I:I)</f>
        <v>2.0566733333333334</v>
      </c>
      <c r="I5">
        <f>AVERAGE([1]CamilaCarrascoBaier!J:J)</f>
        <v>0.1232</v>
      </c>
      <c r="J5">
        <v>0</v>
      </c>
    </row>
    <row r="6" spans="1:10" ht="19.2" customHeight="1" x14ac:dyDescent="0.3">
      <c r="A6" s="5" t="s">
        <v>14</v>
      </c>
      <c r="B6">
        <f>AVERAGE([1]CataAguilar!C:C)</f>
        <v>18.652095238095235</v>
      </c>
      <c r="C6">
        <f>AVERAGE([1]CataAguilar!D:D)</f>
        <v>46.266952380952382</v>
      </c>
      <c r="D6">
        <f>AVERAGE([1]CataAguilar!E:E)</f>
        <v>0.68690476190476191</v>
      </c>
      <c r="E6">
        <f>AVERAGE([1]CataAguilar!F:F)</f>
        <v>0.76190476190476186</v>
      </c>
      <c r="F6">
        <f>AVERAGE([1]CataAguilar!G:G)</f>
        <v>9.0116047619047634</v>
      </c>
      <c r="G6">
        <f>AVERAGE([1]CataAguilar!H:H)</f>
        <v>4.7764523809523807</v>
      </c>
      <c r="H6">
        <f>AVERAGE([1]CataAguilar!I:I)</f>
        <v>3.5160857142857145</v>
      </c>
      <c r="I6">
        <f>AVERAGE([1]CataAguilar!J:J)</f>
        <v>0.24190476190476187</v>
      </c>
      <c r="J6">
        <v>0</v>
      </c>
    </row>
    <row r="7" spans="1:10" ht="19.2" customHeight="1" x14ac:dyDescent="0.3">
      <c r="A7" s="4" t="s">
        <v>15</v>
      </c>
      <c r="B7">
        <f>AVERAGE([1]DiegoContreras!C:C)</f>
        <v>17.860749999999999</v>
      </c>
      <c r="C7">
        <f>AVERAGE([1]DiegoContreras!D:D)</f>
        <v>47.022750000000002</v>
      </c>
      <c r="D7">
        <f>AVERAGE([1]DiegoContreras!E:E)</f>
        <v>0.65575000000000006</v>
      </c>
      <c r="E7">
        <f>AVERAGE([1]DiegoContreras!F:F)</f>
        <v>1</v>
      </c>
      <c r="F7">
        <f>AVERAGE([1]DiegoContreras!G:G)</f>
        <v>11.855824999999999</v>
      </c>
      <c r="G7">
        <f>AVERAGE([1]DiegoContreras!H:H)</f>
        <v>4.3841749999999999</v>
      </c>
      <c r="H7">
        <f>AVERAGE([1]DiegoContreras!I:I)</f>
        <v>2.389875</v>
      </c>
      <c r="I7">
        <f>AVERAGE([1]DiegoContreras!J:J)</f>
        <v>0.154</v>
      </c>
      <c r="J7">
        <v>0</v>
      </c>
    </row>
    <row r="8" spans="1:10" ht="19.2" customHeight="1" x14ac:dyDescent="0.3">
      <c r="A8" s="4" t="s">
        <v>16</v>
      </c>
      <c r="J8">
        <v>0</v>
      </c>
    </row>
    <row r="9" spans="1:10" ht="19.2" customHeight="1" x14ac:dyDescent="0.3">
      <c r="A9" s="4" t="s">
        <v>17</v>
      </c>
      <c r="J9">
        <v>0</v>
      </c>
    </row>
    <row r="10" spans="1:10" ht="19.2" customHeight="1" x14ac:dyDescent="0.3">
      <c r="A10" s="4" t="s">
        <v>18</v>
      </c>
      <c r="B10">
        <f>AVERAGE([1]LourdesArtigas!C:C)</f>
        <v>21.145166666666668</v>
      </c>
      <c r="C10">
        <f>AVERAGE([1]LourdesArtigas!D:D)</f>
        <v>84.514166666666668</v>
      </c>
      <c r="D10">
        <f>AVERAGE([1]LourdesArtigas!E:E)</f>
        <v>0.82416666666666671</v>
      </c>
      <c r="E10">
        <f>AVERAGE([1]LourdesArtigas!F:F)</f>
        <v>0.33333333333333331</v>
      </c>
      <c r="F10">
        <f>AVERAGE([1]LourdesArtigas!G:G)</f>
        <v>8.8428000000000004</v>
      </c>
      <c r="G10">
        <f>AVERAGE([1]LourdesArtigas!H:H)</f>
        <v>4.3810833333333337</v>
      </c>
      <c r="H10">
        <f>AVERAGE([1]LourdesArtigas!I:I)</f>
        <v>2.5819333333333332</v>
      </c>
      <c r="I10">
        <f>AVERAGE([1]LourdesArtigas!J:J)</f>
        <v>0.20533333333333337</v>
      </c>
      <c r="J10">
        <v>1</v>
      </c>
    </row>
    <row r="11" spans="1:10" ht="19.2" customHeight="1" x14ac:dyDescent="0.3">
      <c r="A11" s="4" t="s">
        <v>19</v>
      </c>
      <c r="B11">
        <f>AVERAGE([1]Pantrucas!C:C)</f>
        <v>15.178000000000001</v>
      </c>
      <c r="C11">
        <f>AVERAGE([1]Pantrucas!D:D)</f>
        <v>45.762500000000003</v>
      </c>
      <c r="D11">
        <f>AVERAGE([1]Pantrucas!E:E)</f>
        <v>0.56399999999999995</v>
      </c>
      <c r="E11">
        <f>AVERAGE([1]Pantrucas!F:F)</f>
        <v>1</v>
      </c>
      <c r="F11">
        <f>AVERAGE([1]Pantrucas!G:G)</f>
        <v>10.3506</v>
      </c>
      <c r="G11">
        <f>AVERAGE([1]Pantrucas!H:H)</f>
        <v>5.5357000000000003</v>
      </c>
      <c r="H11">
        <f>AVERAGE([1]Pantrucas!I:I)</f>
        <v>2.6806000000000001</v>
      </c>
      <c r="I11">
        <f>AVERAGE([1]Pantrucas!J:J)</f>
        <v>0.154</v>
      </c>
      <c r="J11">
        <v>0</v>
      </c>
    </row>
    <row r="12" spans="1:10" ht="19.2" customHeight="1" x14ac:dyDescent="0.3">
      <c r="A12" s="4" t="s">
        <v>20</v>
      </c>
      <c r="B12">
        <f>AVERAGE([1]Sepumae!C:C)</f>
        <v>8.0220000000000002</v>
      </c>
      <c r="C12">
        <f>AVERAGE([1]Sepumae!D:D)</f>
        <v>60.995000000000005</v>
      </c>
      <c r="D12">
        <f>AVERAGE([1]Sepumae!E:E)</f>
        <v>0.38600000000000001</v>
      </c>
      <c r="E12">
        <f>AVERAGE([1]Sepumae!F:F)</f>
        <v>1</v>
      </c>
      <c r="F12">
        <f>AVERAGE([1]Sepumae!G:G)</f>
        <v>6.3496500000000005</v>
      </c>
      <c r="G12">
        <f>AVERAGE([1]Sepumae!H:H)</f>
        <v>4.48935</v>
      </c>
      <c r="H12">
        <f>AVERAGE([1]Sepumae!I:I)</f>
        <v>2.0991</v>
      </c>
      <c r="I12">
        <f>AVERAGE([1]Sepumae!J:J)</f>
        <v>7.6999999999999999E-2</v>
      </c>
      <c r="J12">
        <v>0</v>
      </c>
    </row>
    <row r="13" spans="1:10" ht="19.2" customHeight="1" x14ac:dyDescent="0.3">
      <c r="A13" s="4" t="s">
        <v>21</v>
      </c>
      <c r="B13">
        <f>AVERAGE([1]VicenteFigueroa!C:C)</f>
        <v>20.162399999999998</v>
      </c>
      <c r="C13">
        <f>AVERAGE([1]VicenteFigueroa!D:D)</f>
        <v>35.8078</v>
      </c>
      <c r="D13">
        <f>AVERAGE([1]VicenteFigueroa!E:E)</f>
        <v>0.70960000000000001</v>
      </c>
      <c r="E13">
        <f>AVERAGE([1]VicenteFigueroa!F:F)</f>
        <v>1</v>
      </c>
      <c r="F13">
        <f>AVERAGE([1]VicenteFigueroa!G:G)</f>
        <v>8.0595800000000004</v>
      </c>
      <c r="G13">
        <f>AVERAGE([1]VicenteFigueroa!H:H)</f>
        <v>5.5888200000000001</v>
      </c>
      <c r="H13">
        <f>AVERAGE([1]VicenteFigueroa!I:I)</f>
        <v>5.2971799999999991</v>
      </c>
      <c r="I13">
        <f>AVERAGE([1]VicenteFigueroa!J:J)</f>
        <v>0.26180000000000003</v>
      </c>
      <c r="J13">
        <v>0</v>
      </c>
    </row>
    <row r="14" spans="1:10" ht="19.2" customHeight="1" x14ac:dyDescent="0.3">
      <c r="A14" s="4" t="s">
        <v>22</v>
      </c>
      <c r="B14">
        <f>AVERAGE([1]VicenteHernandez!C:C)</f>
        <v>20.902100000000001</v>
      </c>
      <c r="C14">
        <f>AVERAGE([1]VicenteHernandez!D:D)</f>
        <v>53.401499999999999</v>
      </c>
      <c r="D14">
        <f>AVERAGE([1]VicenteHernandez!E:E)</f>
        <v>0.71730000000000005</v>
      </c>
      <c r="E14">
        <f>AVERAGE([1]VicenteHernandez!F:F)</f>
        <v>0.7</v>
      </c>
      <c r="F14">
        <f>AVERAGE([1]VicenteHernandez!G:G)</f>
        <v>11.4702</v>
      </c>
      <c r="G14">
        <f>AVERAGE([1]VicenteHernandez!H:H)</f>
        <v>4.5313500000000007</v>
      </c>
      <c r="H14">
        <f>AVERAGE([1]VicenteHernandez!I:I)</f>
        <v>3.7572500000000004</v>
      </c>
      <c r="I14">
        <f>AVERAGE([1]VicenteHernandez!J:J)</f>
        <v>0.1232</v>
      </c>
      <c r="J14">
        <v>0</v>
      </c>
    </row>
    <row r="15" spans="1:10" ht="19.2" customHeight="1" x14ac:dyDescent="0.3">
      <c r="A15" s="4" t="s">
        <v>23</v>
      </c>
      <c r="B15">
        <f>AVERAGE([1]VicenteLineros!C:C)</f>
        <v>21.44886956521739</v>
      </c>
      <c r="C15">
        <f>AVERAGE([1]VicenteLineros!D:D)</f>
        <v>36.091043478260872</v>
      </c>
      <c r="D15">
        <f>AVERAGE([1]VicenteLineros!E:E)</f>
        <v>0.74334782608695638</v>
      </c>
      <c r="E15">
        <f>AVERAGE([1]VicenteLineros!F:F)</f>
        <v>0.91304347826086951</v>
      </c>
      <c r="F15">
        <f>AVERAGE([1]VicenteLineros!G:G)</f>
        <v>9.1546695652173931</v>
      </c>
      <c r="G15">
        <f>AVERAGE([1]VicenteLineros!H:H)</f>
        <v>4.0432739130434783</v>
      </c>
      <c r="H15">
        <f>AVERAGE([1]VicenteLineros!I:I)</f>
        <v>2.4784565217391306</v>
      </c>
      <c r="I15">
        <f>AVERAGE([1]VicenteLineros!J:J)</f>
        <v>0.27778260869565213</v>
      </c>
      <c r="J15">
        <v>0</v>
      </c>
    </row>
    <row r="16" spans="1:10" ht="19.2" customHeight="1" x14ac:dyDescent="0.3"/>
    <row r="17" spans="1:10" ht="19.2" customHeight="1" x14ac:dyDescent="0.3">
      <c r="A17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3" t="s">
        <v>9</v>
      </c>
    </row>
    <row r="18" spans="1:10" ht="19.2" customHeight="1" x14ac:dyDescent="0.3">
      <c r="A18" t="s">
        <v>24</v>
      </c>
      <c r="B18">
        <f>AVERAGE([2]adap_CataAguilar!C:C)</f>
        <v>25.487999999999996</v>
      </c>
      <c r="C18">
        <f>AVERAGE([2]adap_CataAguilar!D:D)</f>
        <v>88.174399999999991</v>
      </c>
      <c r="D18">
        <f>AVERAGE([2]adap_CataAguilar!E:E)</f>
        <v>0.95320000000000005</v>
      </c>
      <c r="E18">
        <f>AVERAGE([2]adap_CataAguilar!F:F)</f>
        <v>0.3</v>
      </c>
      <c r="F18">
        <f>AVERAGE([2]adap_CataAguilar!G:G)</f>
        <v>5.8585099999999999</v>
      </c>
      <c r="G18">
        <f>AVERAGE([2]adap_CataAguilar!H:H)</f>
        <v>4.4501200000000001</v>
      </c>
      <c r="H18">
        <f>AVERAGE([2]adap_CataAguilar!I:I)</f>
        <v>3.30261</v>
      </c>
      <c r="I18">
        <f>AVERAGE([2]adap_CataAguilar!J:J)</f>
        <v>0.26159999999999994</v>
      </c>
      <c r="J18">
        <v>0</v>
      </c>
    </row>
    <row r="19" spans="1:10" ht="19.2" customHeight="1" x14ac:dyDescent="0.3">
      <c r="A19" t="s">
        <v>25</v>
      </c>
      <c r="B19">
        <f>AVERAGE([2]adap_GonzaloCampos!C:C)</f>
        <v>16.039099999999998</v>
      </c>
      <c r="C19">
        <f>AVERAGE([2]adap_GonzaloCampos!D:D)</f>
        <v>38.228000000000009</v>
      </c>
      <c r="D19">
        <f>AVERAGE([2]adap_GonzaloCampos!E:E)</f>
        <v>0.57920000000000005</v>
      </c>
      <c r="E19">
        <f>AVERAGE([2]adap_GonzaloCampos!F:F)</f>
        <v>0.9</v>
      </c>
      <c r="F19">
        <f>AVERAGE([2]adap_GonzaloCampos!G:G)</f>
        <v>9.7665200000000016</v>
      </c>
      <c r="G19">
        <f>AVERAGE([2]adap_GonzaloCampos!H:H)</f>
        <v>4.5526400000000002</v>
      </c>
      <c r="H19">
        <f>AVERAGE([2]adap_GonzaloCampos!I:I)</f>
        <v>3.8803700000000001</v>
      </c>
      <c r="I19">
        <f>AVERAGE([2]adap_GonzaloCampos!J:J)</f>
        <v>0.15389999999999998</v>
      </c>
      <c r="J19">
        <v>0</v>
      </c>
    </row>
    <row r="20" spans="1:10" ht="19.2" customHeight="1" x14ac:dyDescent="0.3">
      <c r="A20" t="s">
        <v>26</v>
      </c>
      <c r="B20">
        <f>AVERAGE([2]adap_IgnaciaDelgado!C:C)</f>
        <v>17.923400000000001</v>
      </c>
      <c r="C20">
        <f>AVERAGE([2]adap_IgnaciaDelgado!D:D)</f>
        <v>40.673200000000001</v>
      </c>
      <c r="D20">
        <f>AVERAGE([2]adap_IgnaciaDelgado!E:E)</f>
        <v>0.68700000000000006</v>
      </c>
      <c r="E20">
        <f>AVERAGE([2]adap_IgnaciaDelgado!F:F)</f>
        <v>0.7</v>
      </c>
      <c r="F20">
        <f>AVERAGE([2]adap_IgnaciaDelgado!G:G)</f>
        <v>8.9471299999999978</v>
      </c>
      <c r="G20">
        <f>AVERAGE([2]adap_IgnaciaDelgado!H:H)</f>
        <v>4.8815499999999998</v>
      </c>
      <c r="H20">
        <f>AVERAGE([2]adap_IgnaciaDelgado!I:I)</f>
        <v>4.2658699999999996</v>
      </c>
      <c r="I20">
        <f>AVERAGE([2]adap_IgnaciaDelgado!J:J)</f>
        <v>0.25409999999999999</v>
      </c>
      <c r="J20">
        <v>0</v>
      </c>
    </row>
    <row r="21" spans="1:10" ht="19.2" customHeight="1" x14ac:dyDescent="0.3">
      <c r="A21" t="s">
        <v>27</v>
      </c>
      <c r="B21">
        <f>AVERAGE([2]adap_IsidoraToledo!C:C)</f>
        <v>24.372</v>
      </c>
      <c r="C21">
        <f>AVERAGE([2]adap_IsidoraToledo!D:D)</f>
        <v>72.222749999999991</v>
      </c>
      <c r="D21">
        <f>AVERAGE([2]adap_IsidoraToledo!E:E)</f>
        <v>0.93987500000000002</v>
      </c>
      <c r="E21">
        <f>AVERAGE([2]adap_IsidoraToledo!F:F)</f>
        <v>0.25</v>
      </c>
      <c r="F21">
        <f>AVERAGE([2]adap_IsidoraToledo!G:G)</f>
        <v>8.4375</v>
      </c>
      <c r="G21">
        <f>AVERAGE([2]adap_IsidoraToledo!H:H)</f>
        <v>3.4499374999999999</v>
      </c>
      <c r="H21">
        <f>AVERAGE([2]adap_IsidoraToledo!I:I)</f>
        <v>2.27955</v>
      </c>
      <c r="I21">
        <f>AVERAGE([2]adap_IsidoraToledo!J:J)</f>
        <v>0.65399999999999991</v>
      </c>
      <c r="J21">
        <v>0</v>
      </c>
    </row>
    <row r="22" spans="1:10" ht="19.2" customHeight="1" x14ac:dyDescent="0.3">
      <c r="A22" t="s">
        <v>28</v>
      </c>
      <c r="B22">
        <f>AVERAGE([2]adap_JavierSalinas!C:C)</f>
        <v>8.2055555555555557</v>
      </c>
      <c r="C22">
        <f>AVERAGE([2]adap_JavierSalinas!D:D)</f>
        <v>47.76122222222223</v>
      </c>
      <c r="D22">
        <f>AVERAGE([2]adap_JavierSalinas!E:E)</f>
        <v>0.56688888888888889</v>
      </c>
      <c r="E22">
        <f>AVERAGE([2]adap_JavierSalinas!F:F)</f>
        <v>0.88888888888888884</v>
      </c>
      <c r="F22">
        <f>AVERAGE([2]adap_JavierSalinas!G:G)</f>
        <v>7.3019555555555558</v>
      </c>
      <c r="G22">
        <f>AVERAGE([2]adap_JavierSalinas!H:H)</f>
        <v>3.7444888888888892</v>
      </c>
      <c r="H22">
        <f>AVERAGE([2]adap_JavierSalinas!I:I)</f>
        <v>2.5691888888888892</v>
      </c>
      <c r="I22">
        <f>AVERAGE([2]adap_JavierSalinas!J:J)</f>
        <v>4.2777777777777776E-2</v>
      </c>
      <c r="J22">
        <v>0</v>
      </c>
    </row>
    <row r="23" spans="1:10" ht="19.2" customHeight="1" x14ac:dyDescent="0.3">
      <c r="A23" t="s">
        <v>29</v>
      </c>
      <c r="B23">
        <f>AVERAGE([2]adap_MariannaMaregatti!C:C)</f>
        <v>19.478874999999995</v>
      </c>
      <c r="C23">
        <f>AVERAGE([2]adap_MariannaMaregatti!D:D)</f>
        <v>34.342406249999996</v>
      </c>
      <c r="D23">
        <f>AVERAGE([2]adap_MariannaMaregatti!E:E)</f>
        <v>0.7139375</v>
      </c>
      <c r="E23">
        <f>AVERAGE([2]adap_MariannaMaregatti!F:F)</f>
        <v>0.84375</v>
      </c>
      <c r="F23">
        <f>AVERAGE([2]adap_MariannaMaregatti!G:G)</f>
        <v>8.9268000000000018</v>
      </c>
      <c r="G23">
        <f>AVERAGE([2]adap_MariannaMaregatti!H:H)</f>
        <v>3.8153187500000003</v>
      </c>
      <c r="H23">
        <f>AVERAGE([2]adap_MariannaMaregatti!I:I)</f>
        <v>2.1037374999999998</v>
      </c>
      <c r="I23">
        <f>AVERAGE([2]adap_MariannaMaregatti!J:J)</f>
        <v>0.15878124999999996</v>
      </c>
      <c r="J23">
        <v>0</v>
      </c>
    </row>
    <row r="24" spans="1:10" ht="19.2" customHeight="1" x14ac:dyDescent="0.3">
      <c r="A24" t="s">
        <v>30</v>
      </c>
      <c r="B24">
        <f>AVERAGE([2]adap_SebastianRatto!C:C)</f>
        <v>23.840352941176473</v>
      </c>
      <c r="C24">
        <f>AVERAGE([2]adap_SebastianRatto!D:D)</f>
        <v>41.450294117647054</v>
      </c>
      <c r="D24">
        <f>AVERAGE([2]adap_SebastianRatto!E:E)</f>
        <v>0.81023529411764716</v>
      </c>
      <c r="E24">
        <f>AVERAGE([2]adap_SebastianRatto!F:F)</f>
        <v>0.82352941176470584</v>
      </c>
      <c r="F24">
        <f>AVERAGE([2]adap_SebastianRatto!G:G)</f>
        <v>9.871347058823531</v>
      </c>
      <c r="G24">
        <f>AVERAGE([2]adap_SebastianRatto!H:H)</f>
        <v>3.7693117647058823</v>
      </c>
      <c r="H24">
        <f>AVERAGE([2]adap_SebastianRatto!I:I)</f>
        <v>2.5596117647058825</v>
      </c>
      <c r="I24">
        <f>AVERAGE([2]adap_SebastianRatto!J:J)</f>
        <v>0.14947058823529408</v>
      </c>
      <c r="J24">
        <v>0</v>
      </c>
    </row>
    <row r="25" spans="1:10" ht="19.2" customHeight="1" x14ac:dyDescent="0.3">
      <c r="A25" t="s">
        <v>31</v>
      </c>
      <c r="B25">
        <f>AVERAGE([2]adap_SofiaVidal!C:C)</f>
        <v>19.675552631578942</v>
      </c>
      <c r="C25">
        <f>AVERAGE([2]adap_SofiaVidal!D:D)</f>
        <v>50.40481578947368</v>
      </c>
      <c r="D25">
        <f>AVERAGE([2]adap_SofiaVidal!E:E)</f>
        <v>0.73218421052631577</v>
      </c>
      <c r="E25">
        <f>AVERAGE([2]adap_SofiaVidal!F:F)</f>
        <v>0.71052631578947367</v>
      </c>
      <c r="F25">
        <f>AVERAGE([2]adap_SofiaVidal!G:G)</f>
        <v>9.0371026315789464</v>
      </c>
      <c r="G25">
        <f>AVERAGE([2]adap_SofiaVidal!H:H)</f>
        <v>4.2829789473684201</v>
      </c>
      <c r="H25">
        <f>AVERAGE([2]adap_SofiaVidal!I:I)</f>
        <v>2.1041815789473675</v>
      </c>
      <c r="I25">
        <f>AVERAGE([2]adap_SofiaVidal!J:J)</f>
        <v>0.27544736842105261</v>
      </c>
      <c r="J25">
        <v>0</v>
      </c>
    </row>
    <row r="26" spans="1:10" ht="19.2" customHeight="1" x14ac:dyDescent="0.3">
      <c r="A26" t="s">
        <v>32</v>
      </c>
      <c r="B26">
        <f>AVERAGE([2]adap_VicenteOlguin!C:C)</f>
        <v>25.26</v>
      </c>
      <c r="C26">
        <f>AVERAGE([2]adap_VicenteOlguin!D:D)</f>
        <v>94.613</v>
      </c>
      <c r="D26">
        <f>AVERAGE([2]adap_VicenteOlguin!E:E)</f>
        <v>1</v>
      </c>
      <c r="E26">
        <f>AVERAGE([2]adap_VicenteOlguin!F:F)</f>
        <v>0</v>
      </c>
      <c r="F26">
        <f>AVERAGE([2]adap_VicenteOlguin!G:G)</f>
        <v>8.6928999999999998</v>
      </c>
      <c r="G26">
        <f>AVERAGE([2]adap_VicenteOlguin!H:H)</f>
        <v>4.8069250000000006</v>
      </c>
      <c r="H26">
        <f>AVERAGE([2]adap_VicenteOlguin!I:I)</f>
        <v>7.7608749999999995</v>
      </c>
      <c r="I26">
        <f>AVERAGE([2]adap_VicenteOlguin!J:J)</f>
        <v>0.21174999999999999</v>
      </c>
      <c r="J26">
        <v>0</v>
      </c>
    </row>
    <row r="27" spans="1:10" ht="19.2" customHeight="1" x14ac:dyDescent="0.3">
      <c r="A27" t="s">
        <v>33</v>
      </c>
      <c r="B27">
        <f>AVERAGE([2]adap_VicenteQuintana!C:C)</f>
        <v>14.065999999999999</v>
      </c>
      <c r="C27">
        <f>AVERAGE([2]adap_VicenteQuintana!D:D)</f>
        <v>75.36071428571428</v>
      </c>
      <c r="D27">
        <f>AVERAGE([2]adap_VicenteQuintana!E:E)</f>
        <v>0.54685714285714282</v>
      </c>
      <c r="E27">
        <f>AVERAGE([2]adap_VicenteQuintana!F:F)</f>
        <v>1</v>
      </c>
      <c r="F27">
        <f>AVERAGE([2]adap_VicenteQuintana!G:G)</f>
        <v>12.096242857142858</v>
      </c>
      <c r="G27">
        <f>AVERAGE([2]adap_VicenteQuintana!H:H)</f>
        <v>4.1932142857142853</v>
      </c>
      <c r="H27">
        <f>AVERAGE([2]adap_VicenteQuintana!I:I)</f>
        <v>1.419442857142857</v>
      </c>
      <c r="I27">
        <f>AVERAGE([2]adap_VicenteQuintana!J:J)</f>
        <v>0.25285714285714284</v>
      </c>
      <c r="J27">
        <v>0</v>
      </c>
    </row>
    <row r="28" spans="1:10" ht="19.2" customHeight="1" x14ac:dyDescent="0.3">
      <c r="A28" t="s">
        <v>34</v>
      </c>
      <c r="B28">
        <f>AVERAGE([2]adap_VicenteVidal!C:C)</f>
        <v>19.092833333333335</v>
      </c>
      <c r="C28">
        <f>AVERAGE([2]adap_VicenteVidal!D:D)</f>
        <v>63.135833333333331</v>
      </c>
      <c r="D28">
        <f>AVERAGE([2]adap_VicenteVidal!E:E)</f>
        <v>0.73550000000000004</v>
      </c>
      <c r="E28">
        <f>AVERAGE([2]adap_VicenteVidal!F:F)</f>
        <v>0.5</v>
      </c>
      <c r="F28">
        <f>AVERAGE([2]adap_VicenteVidal!G:G)</f>
        <v>7.4728833333333329</v>
      </c>
      <c r="G28">
        <f>AVERAGE([2]adap_VicenteVidal!H:H)</f>
        <v>4.0384833333333328</v>
      </c>
      <c r="H28">
        <f>AVERAGE([2]adap_VicenteVidal!I:I)</f>
        <v>3.1855166666666666</v>
      </c>
      <c r="I28">
        <f>AVERAGE([2]adap_VicenteVidal!J:J)</f>
        <v>0.32066666666666666</v>
      </c>
      <c r="J28">
        <v>0</v>
      </c>
    </row>
    <row r="29" spans="1:10" ht="19.2" customHeight="1" x14ac:dyDescent="0.3">
      <c r="A29" t="s">
        <v>35</v>
      </c>
      <c r="B29">
        <f>AVERAGE([2]adap_yo!C:C)</f>
        <v>21.957500000000003</v>
      </c>
      <c r="C29">
        <f>AVERAGE([2]adap_yo!D:D)</f>
        <v>309.755</v>
      </c>
      <c r="D29">
        <f>AVERAGE([2]adap_yo!E:E)</f>
        <v>0.81</v>
      </c>
      <c r="E29">
        <f>AVERAGE([2]adap_yo!F:F)</f>
        <v>1</v>
      </c>
      <c r="F29">
        <f>AVERAGE([2]adap_yo!G:G)</f>
        <v>9.8810500000000001</v>
      </c>
      <c r="G29">
        <f>AVERAGE([2]adap_yo!H:H)</f>
        <v>4.7533499999999993</v>
      </c>
      <c r="H29">
        <f>AVERAGE([2]adap_yo!I:I)</f>
        <v>1.93015</v>
      </c>
      <c r="I29">
        <f>AVERAGE([2]adap_yo!J:J)</f>
        <v>0.1925</v>
      </c>
      <c r="J29">
        <v>0</v>
      </c>
    </row>
    <row r="30" spans="1:10" x14ac:dyDescent="0.3">
      <c r="A30" t="s">
        <v>36</v>
      </c>
      <c r="B30">
        <v>20.747333333333334</v>
      </c>
      <c r="C30">
        <v>70.984666666666669</v>
      </c>
      <c r="D30">
        <v>0.84299999999999997</v>
      </c>
      <c r="E30">
        <v>0</v>
      </c>
      <c r="F30">
        <v>8.7414000000000005</v>
      </c>
      <c r="G30">
        <v>4.6788333333333334</v>
      </c>
      <c r="H30">
        <v>3.3890333333333333</v>
      </c>
      <c r="I30">
        <v>0.20533333333333334</v>
      </c>
      <c r="J30">
        <v>0</v>
      </c>
    </row>
    <row r="31" spans="1:10" x14ac:dyDescent="0.3">
      <c r="A31" t="s">
        <v>37</v>
      </c>
      <c r="B31">
        <v>24.9</v>
      </c>
      <c r="C31">
        <v>207</v>
      </c>
      <c r="D31">
        <v>1</v>
      </c>
      <c r="E31">
        <v>0</v>
      </c>
      <c r="F31">
        <v>7.0587999999999997</v>
      </c>
      <c r="G31">
        <v>4.4347000000000003</v>
      </c>
      <c r="H31">
        <v>6.2651000000000003</v>
      </c>
      <c r="I31">
        <v>0.154</v>
      </c>
      <c r="J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Baquedano Belmar (Alumno)</dc:creator>
  <cp:lastModifiedBy>Juan Baquedano Belmar (Alumno)</cp:lastModifiedBy>
  <dcterms:created xsi:type="dcterms:W3CDTF">2026-02-20T19:31:31Z</dcterms:created>
  <dcterms:modified xsi:type="dcterms:W3CDTF">2026-02-21T04:13:19Z</dcterms:modified>
</cp:coreProperties>
</file>