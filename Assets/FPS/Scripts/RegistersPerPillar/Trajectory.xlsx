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"/>
    </mc:Choice>
  </mc:AlternateContent>
  <xr:revisionPtr revIDLastSave="0" documentId="13_ncr:1_{77F8B256-12A0-4671-AC9E-A62B44F1BA2F}" xr6:coauthVersionLast="47" xr6:coauthVersionMax="47" xr10:uidLastSave="{00000000-0000-0000-0000-000000000000}"/>
  <bookViews>
    <workbookView xWindow="28680" yWindow="2100" windowWidth="20730" windowHeight="11760" firstSheet="10" activeTab="15" xr2:uid="{00000000-000D-0000-FFFF-FFFF00000000}"/>
  </bookViews>
  <sheets>
    <sheet name="AlexVargas" sheetId="1" r:id="rId1"/>
    <sheet name="AntoFlores" sheetId="2" r:id="rId2"/>
    <sheet name="BenjaCarrasco" sheetId="3" r:id="rId3"/>
    <sheet name="CamilaCarrascoBaier" sheetId="4" r:id="rId4"/>
    <sheet name="CataAguilar" sheetId="5" r:id="rId5"/>
    <sheet name="DiegoContreras" sheetId="6" r:id="rId6"/>
    <sheet name="FranPerez" sheetId="7" r:id="rId7"/>
    <sheet name="JoaquinAguilar" sheetId="8" r:id="rId8"/>
    <sheet name="LourdesArtigas" sheetId="9" r:id="rId9"/>
    <sheet name="Pantrucas" sheetId="10" r:id="rId10"/>
    <sheet name="Sepumae" sheetId="11" r:id="rId11"/>
    <sheet name="VicenteFigueroa" sheetId="12" r:id="rId12"/>
    <sheet name="VicenteHernandez" sheetId="13" r:id="rId13"/>
    <sheet name="VicenteLineros" sheetId="14" r:id="rId14"/>
    <sheet name="yoelchupa" sheetId="15" r:id="rId15"/>
    <sheet name="Threshold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6" l="1"/>
  <c r="D20" i="16"/>
  <c r="E20" i="16"/>
  <c r="F20" i="16"/>
  <c r="G20" i="16"/>
  <c r="H20" i="16"/>
  <c r="I20" i="16"/>
  <c r="J20" i="16"/>
  <c r="C19" i="16"/>
  <c r="D19" i="16"/>
  <c r="E19" i="16"/>
  <c r="F19" i="16"/>
  <c r="G19" i="16"/>
  <c r="H19" i="16"/>
  <c r="I19" i="16"/>
  <c r="J19" i="16"/>
  <c r="B20" i="16"/>
  <c r="B19" i="16"/>
  <c r="C18" i="16"/>
  <c r="D18" i="16"/>
  <c r="E18" i="16"/>
  <c r="F18" i="16"/>
  <c r="G18" i="16"/>
  <c r="H18" i="16"/>
  <c r="I18" i="16"/>
  <c r="J18" i="16"/>
  <c r="B18" i="16"/>
  <c r="C14" i="16"/>
  <c r="D14" i="16"/>
  <c r="E14" i="16"/>
  <c r="F14" i="16"/>
  <c r="G14" i="16"/>
  <c r="H14" i="16"/>
  <c r="I14" i="16"/>
  <c r="J14" i="16"/>
  <c r="C13" i="16"/>
  <c r="D13" i="16"/>
  <c r="E13" i="16"/>
  <c r="F13" i="16"/>
  <c r="G13" i="16"/>
  <c r="H13" i="16"/>
  <c r="I13" i="16"/>
  <c r="J13" i="16"/>
  <c r="C12" i="16"/>
  <c r="D12" i="16"/>
  <c r="E12" i="16"/>
  <c r="F12" i="16"/>
  <c r="G12" i="16"/>
  <c r="H12" i="16"/>
  <c r="I12" i="16"/>
  <c r="J12" i="16"/>
  <c r="C11" i="16"/>
  <c r="D11" i="16"/>
  <c r="E11" i="16"/>
  <c r="F11" i="16"/>
  <c r="G11" i="16"/>
  <c r="H11" i="16"/>
  <c r="I11" i="16"/>
  <c r="J11" i="16"/>
  <c r="C10" i="16"/>
  <c r="D10" i="16"/>
  <c r="E10" i="16"/>
  <c r="F10" i="16"/>
  <c r="G10" i="16"/>
  <c r="H10" i="16"/>
  <c r="I10" i="16"/>
  <c r="J10" i="16"/>
  <c r="C9" i="16"/>
  <c r="D9" i="16"/>
  <c r="E9" i="16"/>
  <c r="F9" i="16"/>
  <c r="G9" i="16"/>
  <c r="H9" i="16"/>
  <c r="I9" i="16"/>
  <c r="J9" i="16"/>
  <c r="C8" i="16"/>
  <c r="D8" i="16"/>
  <c r="E8" i="16"/>
  <c r="F8" i="16"/>
  <c r="G8" i="16"/>
  <c r="H8" i="16"/>
  <c r="I8" i="16"/>
  <c r="J8" i="16"/>
  <c r="C7" i="16"/>
  <c r="D7" i="16"/>
  <c r="E7" i="16"/>
  <c r="F7" i="16"/>
  <c r="G7" i="16"/>
  <c r="H7" i="16"/>
  <c r="I7" i="16"/>
  <c r="J7" i="16"/>
  <c r="C5" i="16"/>
  <c r="D5" i="16"/>
  <c r="E5" i="16"/>
  <c r="F5" i="16"/>
  <c r="G5" i="16"/>
  <c r="H5" i="16"/>
  <c r="I5" i="16"/>
  <c r="J5" i="16"/>
  <c r="C4" i="16"/>
  <c r="D4" i="16"/>
  <c r="E4" i="16"/>
  <c r="F4" i="16"/>
  <c r="G4" i="16"/>
  <c r="H4" i="16"/>
  <c r="I4" i="16"/>
  <c r="J4" i="16"/>
  <c r="C3" i="16"/>
  <c r="D3" i="16"/>
  <c r="E3" i="16"/>
  <c r="F3" i="16"/>
  <c r="G3" i="16"/>
  <c r="H3" i="16"/>
  <c r="I3" i="16"/>
  <c r="J3" i="16"/>
  <c r="D2" i="16"/>
  <c r="E2" i="16"/>
  <c r="F2" i="16"/>
  <c r="G2" i="16"/>
  <c r="H2" i="16"/>
  <c r="I2" i="16"/>
  <c r="J2" i="16"/>
  <c r="C2" i="16"/>
  <c r="B14" i="16"/>
  <c r="B13" i="16"/>
  <c r="B12" i="16"/>
  <c r="B11" i="16"/>
  <c r="B10" i="16"/>
  <c r="B9" i="16"/>
  <c r="B8" i="16"/>
  <c r="B7" i="16"/>
  <c r="B5" i="16"/>
  <c r="B4" i="16"/>
  <c r="B3" i="16"/>
  <c r="B2" i="16"/>
  <c r="J15" i="16"/>
  <c r="J16" i="16"/>
  <c r="D16" i="16"/>
  <c r="E16" i="16"/>
  <c r="F16" i="16"/>
  <c r="G16" i="16"/>
  <c r="H16" i="16"/>
  <c r="I16" i="16"/>
  <c r="C16" i="16"/>
  <c r="C15" i="16"/>
  <c r="D15" i="16"/>
  <c r="E15" i="16"/>
  <c r="F15" i="16"/>
  <c r="G15" i="16"/>
  <c r="H15" i="16"/>
  <c r="I15" i="16"/>
  <c r="B15" i="16"/>
  <c r="B16" i="16"/>
</calcChain>
</file>

<file path=xl/sharedStrings.xml><?xml version="1.0" encoding="utf-8"?>
<sst xmlns="http://schemas.openxmlformats.org/spreadsheetml/2006/main" count="408" uniqueCount="40">
  <si>
    <t>AttemptID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</si>
  <si>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</si>
  <si>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</si>
  <si>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</si>
  <si>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</si>
  <si>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</si>
  <si>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</si>
  <si>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</si>
  <si>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</si>
  <si>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</si>
  <si>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EndedInDeath</t>
  </si>
  <si>
    <t>TargetAnchorName</t>
  </si>
  <si>
    <t>TargetAnchor1</t>
  </si>
  <si>
    <t>TargetAnchor2</t>
  </si>
  <si>
    <t>TargetAnchor3</t>
  </si>
  <si>
    <t>TargetAnchor4</t>
  </si>
  <si>
    <t>TargetAnchor5</t>
  </si>
  <si>
    <t>TargetAnchor6</t>
  </si>
  <si>
    <t>TargetAnchor7</t>
  </si>
  <si>
    <t>TargetAnchor8</t>
  </si>
  <si>
    <t>Jugador</t>
  </si>
  <si>
    <t>Jug1</t>
  </si>
  <si>
    <t>Jug2</t>
  </si>
  <si>
    <t>Jug3</t>
  </si>
  <si>
    <t>Jug4</t>
  </si>
  <si>
    <t>Jug5</t>
  </si>
  <si>
    <t>Jug6</t>
  </si>
  <si>
    <t>Jug7</t>
  </si>
  <si>
    <t>Jug8</t>
  </si>
  <si>
    <t>Jug9</t>
  </si>
  <si>
    <t>Jug10</t>
  </si>
  <si>
    <t>Jug11</t>
  </si>
  <si>
    <t>Jug12</t>
  </si>
  <si>
    <t>Jug13</t>
  </si>
  <si>
    <t>Jug14</t>
  </si>
  <si>
    <t>Jug15</t>
  </si>
  <si>
    <t>Percentil50 (comun)</t>
  </si>
  <si>
    <t>Percentil75 (activacion)</t>
  </si>
  <si>
    <t>Percentil90 (critico)</t>
  </si>
  <si>
    <t>AbandonoPilar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</si>
</sst>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/>
    <xf numFmtId="0" fontId="0" fillId="2" borderId="0" xfId="0" applyFill="1"/>
    <xf numFmtId="0" fontId="0" fillId="3" borderId="0" xfId="0" applyFill="1"/>
    <xf numFmtId="0" fontId="3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>
      <selection activeCell="B2" sqref="B2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5</v>
      </c>
      <c r="B2">
        <v>271.11810000000003</v>
      </c>
      <c r="C2">
        <v>1.109192</v>
      </c>
      <c r="D2">
        <v>1</v>
      </c>
      <c r="E2">
        <v>2.991158</v>
      </c>
      <c r="F2">
        <v>9.6501020000000004</v>
      </c>
      <c r="G2">
        <v>0.40376479999999998</v>
      </c>
      <c r="H2">
        <v>0.55074400000000001</v>
      </c>
      <c r="I2">
        <v>13.328329999999999</v>
      </c>
      <c r="J2">
        <v>7.1543000000000001</v>
      </c>
      <c r="K2">
        <v>0</v>
      </c>
      <c r="L2" t="s">
        <v>12</v>
      </c>
    </row>
    <row r="3" spans="1:12" x14ac:dyDescent="0.3">
      <c r="A3">
        <v>5</v>
      </c>
      <c r="B3">
        <v>274.79360000000003</v>
      </c>
      <c r="C3">
        <v>1.3501890000000001</v>
      </c>
      <c r="D3">
        <v>1</v>
      </c>
      <c r="E3">
        <v>4.0919530000000002</v>
      </c>
      <c r="F3">
        <v>11.83334</v>
      </c>
      <c r="G3">
        <v>0.33652599999999999</v>
      </c>
      <c r="H3">
        <v>1.2220569999999999</v>
      </c>
      <c r="I3">
        <v>15.906739999999999</v>
      </c>
      <c r="J3">
        <v>7.4540290000000002</v>
      </c>
      <c r="K3">
        <v>0</v>
      </c>
      <c r="L3" t="s">
        <v>13</v>
      </c>
    </row>
    <row r="4" spans="1:12" x14ac:dyDescent="0.3">
      <c r="A4">
        <v>5</v>
      </c>
      <c r="B4">
        <v>278.47710000000001</v>
      </c>
      <c r="C4">
        <v>1.3758239999999999</v>
      </c>
      <c r="D4">
        <v>1</v>
      </c>
      <c r="E4">
        <v>2.7551260000000002</v>
      </c>
      <c r="F4">
        <v>8.1531110000000009</v>
      </c>
      <c r="G4">
        <v>0.40881499999999998</v>
      </c>
      <c r="H4">
        <v>0.30824109999999999</v>
      </c>
      <c r="I4">
        <v>17.234089999999998</v>
      </c>
      <c r="J4">
        <v>9.5329189999999997</v>
      </c>
      <c r="K4">
        <v>0</v>
      </c>
      <c r="L4" t="s">
        <v>14</v>
      </c>
    </row>
    <row r="5" spans="1:12" x14ac:dyDescent="0.3">
      <c r="A5">
        <v>5</v>
      </c>
      <c r="B5">
        <v>282.51519999999999</v>
      </c>
      <c r="C5">
        <v>1.811615</v>
      </c>
      <c r="D5">
        <v>1</v>
      </c>
      <c r="E5">
        <v>2.9228900000000002</v>
      </c>
      <c r="F5">
        <v>7.2140459999999997</v>
      </c>
      <c r="G5">
        <v>0.47898459999999998</v>
      </c>
      <c r="H5">
        <v>1.4400250000000001</v>
      </c>
      <c r="I5">
        <v>23.09449</v>
      </c>
      <c r="J5">
        <v>14.38636</v>
      </c>
      <c r="K5">
        <v>0</v>
      </c>
      <c r="L5" t="s">
        <v>15</v>
      </c>
    </row>
    <row r="6" spans="1:12" x14ac:dyDescent="0.3">
      <c r="A6">
        <v>5</v>
      </c>
      <c r="B6">
        <v>287.697</v>
      </c>
      <c r="C6">
        <v>1.5454410000000001</v>
      </c>
      <c r="D6">
        <v>1</v>
      </c>
      <c r="E6">
        <v>3.4804179999999998</v>
      </c>
      <c r="F6">
        <v>9.3136960000000002</v>
      </c>
      <c r="G6">
        <v>0.41916490000000001</v>
      </c>
      <c r="H6">
        <v>0.38824059999999999</v>
      </c>
      <c r="I6">
        <v>17.18965</v>
      </c>
      <c r="J6">
        <v>6.40557</v>
      </c>
      <c r="K6">
        <v>0</v>
      </c>
      <c r="L6" t="s">
        <v>16</v>
      </c>
    </row>
    <row r="7" spans="1:12" x14ac:dyDescent="0.3">
      <c r="A7">
        <v>5</v>
      </c>
      <c r="B7">
        <v>292.01139999999998</v>
      </c>
      <c r="C7">
        <v>2.005188</v>
      </c>
      <c r="D7">
        <v>1</v>
      </c>
      <c r="E7">
        <v>2.1848939999999999</v>
      </c>
      <c r="F7">
        <v>6.4877459999999996</v>
      </c>
      <c r="G7">
        <v>0.50009040000000005</v>
      </c>
      <c r="H7">
        <v>0.49380239999999997</v>
      </c>
      <c r="I7">
        <v>25.594709999999999</v>
      </c>
      <c r="J7">
        <v>16.058039999999998</v>
      </c>
      <c r="K7">
        <v>0</v>
      </c>
      <c r="L7" t="s">
        <v>17</v>
      </c>
    </row>
    <row r="8" spans="1:12" x14ac:dyDescent="0.3">
      <c r="A8">
        <v>5</v>
      </c>
      <c r="B8">
        <v>297.61340000000001</v>
      </c>
      <c r="C8">
        <v>1.6612549999999999</v>
      </c>
      <c r="D8">
        <v>1</v>
      </c>
      <c r="E8">
        <v>2.4698359999999999</v>
      </c>
      <c r="F8">
        <v>7.4221339999999998</v>
      </c>
      <c r="G8">
        <v>0.420603</v>
      </c>
      <c r="H8">
        <v>0.2610886</v>
      </c>
      <c r="I8">
        <v>20.631519999999998</v>
      </c>
      <c r="J8">
        <v>11.414400000000001</v>
      </c>
      <c r="K8">
        <v>0</v>
      </c>
      <c r="L8" t="s">
        <v>18</v>
      </c>
    </row>
    <row r="9" spans="1:12" x14ac:dyDescent="0.3">
      <c r="A9">
        <v>5</v>
      </c>
      <c r="B9">
        <v>302.8073</v>
      </c>
      <c r="C9">
        <v>1.4261779999999999</v>
      </c>
      <c r="D9">
        <v>0.99269339999999995</v>
      </c>
      <c r="E9">
        <v>5.8571869999999997</v>
      </c>
      <c r="F9">
        <v>12.86735</v>
      </c>
      <c r="G9">
        <v>0.53486060000000002</v>
      </c>
      <c r="H9">
        <v>7.103593</v>
      </c>
      <c r="I9">
        <v>14.566330000000001</v>
      </c>
      <c r="J9">
        <v>8.9680079999999993</v>
      </c>
      <c r="K9">
        <v>0</v>
      </c>
      <c r="L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10</v>
      </c>
      <c r="B2">
        <v>505.7989</v>
      </c>
      <c r="C2">
        <v>1.0335080000000001</v>
      </c>
      <c r="D2">
        <v>1</v>
      </c>
      <c r="E2">
        <v>2.3529249999999999</v>
      </c>
      <c r="F2">
        <v>13.77534</v>
      </c>
      <c r="G2">
        <v>0.1246178</v>
      </c>
      <c r="H2">
        <v>3.0869499999999999</v>
      </c>
      <c r="I2">
        <v>10.59003</v>
      </c>
      <c r="J2">
        <v>2.3151839999999999</v>
      </c>
      <c r="K2">
        <v>0</v>
      </c>
      <c r="L2" t="s">
        <v>12</v>
      </c>
    </row>
    <row r="3" spans="1:12" x14ac:dyDescent="0.3">
      <c r="A3">
        <v>10</v>
      </c>
      <c r="B3">
        <v>512.12639999999999</v>
      </c>
      <c r="C3">
        <v>1.319275</v>
      </c>
      <c r="D3">
        <v>1</v>
      </c>
      <c r="E3">
        <v>2.6691919999999998</v>
      </c>
      <c r="F3">
        <v>13.93233</v>
      </c>
      <c r="G3">
        <v>0.13344349999999999</v>
      </c>
      <c r="H3">
        <v>0.55092850000000004</v>
      </c>
      <c r="I3">
        <v>13.793950000000001</v>
      </c>
      <c r="J3">
        <v>3.7867229999999998</v>
      </c>
      <c r="K3">
        <v>0</v>
      </c>
      <c r="L3" t="s">
        <v>13</v>
      </c>
    </row>
    <row r="4" spans="1:12" x14ac:dyDescent="0.3">
      <c r="A4">
        <v>10</v>
      </c>
      <c r="B4">
        <v>519.15009999999995</v>
      </c>
      <c r="C4">
        <v>1.105286</v>
      </c>
      <c r="D4">
        <v>1</v>
      </c>
      <c r="E4">
        <v>2.4458139999999999</v>
      </c>
      <c r="F4">
        <v>12.995950000000001</v>
      </c>
      <c r="G4">
        <v>0.1605598</v>
      </c>
      <c r="H4">
        <v>0.39675510000000003</v>
      </c>
      <c r="I4">
        <v>12.044689999999999</v>
      </c>
      <c r="J4">
        <v>4.1390479999999998</v>
      </c>
      <c r="K4">
        <v>0</v>
      </c>
      <c r="L4" t="s">
        <v>14</v>
      </c>
    </row>
    <row r="5" spans="1:12" x14ac:dyDescent="0.3">
      <c r="A5">
        <v>10</v>
      </c>
      <c r="B5">
        <v>522.96410000000003</v>
      </c>
      <c r="C5">
        <v>1.890503</v>
      </c>
      <c r="D5">
        <v>1</v>
      </c>
      <c r="E5">
        <v>1.6607149999999999</v>
      </c>
      <c r="F5">
        <v>6.6441650000000001</v>
      </c>
      <c r="G5">
        <v>0.4542525</v>
      </c>
      <c r="H5">
        <v>2.9930349999999999</v>
      </c>
      <c r="I5">
        <v>23.49539</v>
      </c>
      <c r="J5">
        <v>14.183730000000001</v>
      </c>
      <c r="K5">
        <v>0</v>
      </c>
      <c r="L5" t="s">
        <v>15</v>
      </c>
    </row>
    <row r="6" spans="1:12" x14ac:dyDescent="0.3">
      <c r="A6">
        <v>10</v>
      </c>
      <c r="B6">
        <v>531.11469999999997</v>
      </c>
      <c r="C6">
        <v>1.7743530000000001</v>
      </c>
      <c r="D6">
        <v>1</v>
      </c>
      <c r="E6">
        <v>3.1740710000000001</v>
      </c>
      <c r="F6">
        <v>14.8355</v>
      </c>
      <c r="G6">
        <v>0.2122916</v>
      </c>
      <c r="H6">
        <v>0.67128310000000002</v>
      </c>
      <c r="I6">
        <v>18.8277</v>
      </c>
      <c r="J6">
        <v>5.2431739999999998</v>
      </c>
      <c r="K6">
        <v>0</v>
      </c>
      <c r="L6" t="s">
        <v>16</v>
      </c>
    </row>
    <row r="7" spans="1:12" x14ac:dyDescent="0.3">
      <c r="A7">
        <v>10</v>
      </c>
      <c r="B7">
        <v>538.97379999999998</v>
      </c>
      <c r="C7">
        <v>1.8892819999999999</v>
      </c>
      <c r="D7">
        <v>1</v>
      </c>
      <c r="E7">
        <v>2.4321220000000001</v>
      </c>
      <c r="F7">
        <v>12.237159999999999</v>
      </c>
      <c r="G7">
        <v>0.1793226</v>
      </c>
      <c r="H7">
        <v>1.169065</v>
      </c>
      <c r="I7">
        <v>20.073640000000001</v>
      </c>
      <c r="J7">
        <v>5.7332530000000004</v>
      </c>
      <c r="K7">
        <v>0</v>
      </c>
      <c r="L7" t="s">
        <v>17</v>
      </c>
    </row>
    <row r="8" spans="1:12" x14ac:dyDescent="0.3">
      <c r="A8">
        <v>10</v>
      </c>
      <c r="B8">
        <v>545.75930000000005</v>
      </c>
      <c r="C8">
        <v>1.6660159999999999</v>
      </c>
      <c r="D8">
        <v>1</v>
      </c>
      <c r="E8">
        <v>1.8472930000000001</v>
      </c>
      <c r="F8">
        <v>10.273569999999999</v>
      </c>
      <c r="G8">
        <v>0.17520089999999999</v>
      </c>
      <c r="H8">
        <v>0.20968999999999999</v>
      </c>
      <c r="I8">
        <v>17.981030000000001</v>
      </c>
      <c r="J8">
        <v>5.870501</v>
      </c>
      <c r="K8">
        <v>0</v>
      </c>
      <c r="L8" t="s">
        <v>18</v>
      </c>
    </row>
    <row r="9" spans="1:12" x14ac:dyDescent="0.3">
      <c r="A9">
        <v>10</v>
      </c>
      <c r="B9">
        <v>555.09379999999999</v>
      </c>
      <c r="C9">
        <v>2.0373540000000001</v>
      </c>
      <c r="D9">
        <v>0.96056430000000004</v>
      </c>
      <c r="E9">
        <v>1.5109729999999999</v>
      </c>
      <c r="F9">
        <v>5.759601</v>
      </c>
      <c r="G9">
        <v>0.3547401</v>
      </c>
      <c r="H9">
        <v>12.58587</v>
      </c>
      <c r="I9">
        <v>25.44697</v>
      </c>
      <c r="J9">
        <v>14.538919999999999</v>
      </c>
      <c r="K9">
        <v>0</v>
      </c>
      <c r="L9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6</v>
      </c>
      <c r="B2">
        <v>281.73919999999998</v>
      </c>
      <c r="C2">
        <v>1.146576</v>
      </c>
      <c r="D2">
        <v>1</v>
      </c>
      <c r="E2">
        <v>1.637135</v>
      </c>
      <c r="F2">
        <v>8.6271830000000005</v>
      </c>
      <c r="G2">
        <v>0.2132278</v>
      </c>
      <c r="H2">
        <v>0.95903760000000005</v>
      </c>
      <c r="I2">
        <v>12.904</v>
      </c>
      <c r="J2">
        <v>6.1720730000000001</v>
      </c>
      <c r="K2">
        <v>0</v>
      </c>
      <c r="L2" t="s">
        <v>12</v>
      </c>
    </row>
    <row r="3" spans="1:12" x14ac:dyDescent="0.3">
      <c r="A3">
        <v>6</v>
      </c>
      <c r="B3">
        <v>284.86340000000001</v>
      </c>
      <c r="C3">
        <v>1.4742740000000001</v>
      </c>
      <c r="D3">
        <v>1</v>
      </c>
      <c r="E3">
        <v>1.8538049999999999</v>
      </c>
      <c r="F3">
        <v>9.5307539999999999</v>
      </c>
      <c r="G3">
        <v>0.28680410000000001</v>
      </c>
      <c r="H3">
        <v>0.2962304</v>
      </c>
      <c r="I3">
        <v>17.116679999999999</v>
      </c>
      <c r="J3">
        <v>9.1485040000000009</v>
      </c>
      <c r="K3">
        <v>0</v>
      </c>
      <c r="L3" t="s">
        <v>13</v>
      </c>
    </row>
    <row r="4" spans="1:12" x14ac:dyDescent="0.3">
      <c r="A4">
        <v>6</v>
      </c>
      <c r="B4">
        <v>289.91370000000001</v>
      </c>
      <c r="C4">
        <v>1.1456299999999999</v>
      </c>
      <c r="D4">
        <v>1</v>
      </c>
      <c r="E4">
        <v>2.256402</v>
      </c>
      <c r="F4">
        <v>12.24193</v>
      </c>
      <c r="G4">
        <v>0.1583434</v>
      </c>
      <c r="H4">
        <v>0.78925659999999997</v>
      </c>
      <c r="I4">
        <v>12.34928</v>
      </c>
      <c r="J4">
        <v>3.9806870000000001</v>
      </c>
      <c r="K4">
        <v>0</v>
      </c>
      <c r="L4" t="s">
        <v>14</v>
      </c>
    </row>
    <row r="5" spans="1:12" x14ac:dyDescent="0.3">
      <c r="A5">
        <v>6</v>
      </c>
      <c r="B5">
        <v>292.96010000000001</v>
      </c>
      <c r="C5">
        <v>2.450043</v>
      </c>
      <c r="D5">
        <v>0.57918179999999997</v>
      </c>
      <c r="E5">
        <v>2.122525</v>
      </c>
      <c r="F5">
        <v>11.19772</v>
      </c>
      <c r="G5">
        <v>0.3939744</v>
      </c>
      <c r="H5">
        <v>33.367319999999999</v>
      </c>
      <c r="I5">
        <v>28.053360000000001</v>
      </c>
      <c r="J5">
        <v>13.53173</v>
      </c>
      <c r="K5">
        <v>1</v>
      </c>
      <c r="L5" t="s">
        <v>15</v>
      </c>
    </row>
    <row r="6" spans="1:12" x14ac:dyDescent="0.3">
      <c r="A6">
        <v>7</v>
      </c>
      <c r="B6">
        <v>301.82170000000002</v>
      </c>
      <c r="C6">
        <v>1.5975649999999999</v>
      </c>
      <c r="D6">
        <v>1</v>
      </c>
      <c r="E6">
        <v>1.6077030000000001</v>
      </c>
      <c r="F6">
        <v>7.6326999999999998</v>
      </c>
      <c r="G6">
        <v>0.33394380000000001</v>
      </c>
      <c r="H6">
        <v>1.3547180000000001</v>
      </c>
      <c r="I6">
        <v>19.167649999999998</v>
      </c>
      <c r="J6">
        <v>10.142989999999999</v>
      </c>
      <c r="K6">
        <v>0</v>
      </c>
      <c r="L6" t="s">
        <v>12</v>
      </c>
    </row>
    <row r="7" spans="1:12" x14ac:dyDescent="0.3">
      <c r="A7">
        <v>7</v>
      </c>
      <c r="B7">
        <v>305.96940000000001</v>
      </c>
      <c r="C7">
        <v>0.86441040000000002</v>
      </c>
      <c r="D7">
        <v>1</v>
      </c>
      <c r="E7">
        <v>2.4178329999999999</v>
      </c>
      <c r="F7">
        <v>10.46134</v>
      </c>
      <c r="G7">
        <v>0.18465909999999999</v>
      </c>
      <c r="H7">
        <v>3.3392249999999999</v>
      </c>
      <c r="I7">
        <v>9.7070690000000006</v>
      </c>
      <c r="J7">
        <v>4.2504359999999997</v>
      </c>
      <c r="K7">
        <v>0</v>
      </c>
      <c r="L7" t="s">
        <v>13</v>
      </c>
    </row>
    <row r="8" spans="1:12" x14ac:dyDescent="0.3">
      <c r="A8">
        <v>7</v>
      </c>
      <c r="B8">
        <v>308.67759999999998</v>
      </c>
      <c r="C8">
        <v>1.0263059999999999</v>
      </c>
      <c r="D8">
        <v>1</v>
      </c>
      <c r="E8">
        <v>2.0338829999999999</v>
      </c>
      <c r="F8">
        <v>10.44849</v>
      </c>
      <c r="G8">
        <v>0.17191129999999999</v>
      </c>
      <c r="H8">
        <v>0.78418480000000002</v>
      </c>
      <c r="I8">
        <v>11.679489999999999</v>
      </c>
      <c r="J8">
        <v>5.2308019999999997</v>
      </c>
      <c r="K8">
        <v>0</v>
      </c>
      <c r="L8" t="s">
        <v>14</v>
      </c>
    </row>
    <row r="9" spans="1:12" x14ac:dyDescent="0.3">
      <c r="A9">
        <v>7</v>
      </c>
      <c r="B9">
        <v>312.87580000000003</v>
      </c>
      <c r="C9">
        <v>1.591583</v>
      </c>
      <c r="D9">
        <v>1</v>
      </c>
      <c r="E9">
        <v>2.0574720000000002</v>
      </c>
      <c r="F9">
        <v>7.6038119999999996</v>
      </c>
      <c r="G9">
        <v>0.36002269999999997</v>
      </c>
      <c r="H9">
        <v>1.8220339999999999</v>
      </c>
      <c r="I9">
        <v>20.023230000000002</v>
      </c>
      <c r="J9">
        <v>11.21067</v>
      </c>
      <c r="K9">
        <v>0</v>
      </c>
      <c r="L9" t="s">
        <v>15</v>
      </c>
    </row>
    <row r="10" spans="1:12" x14ac:dyDescent="0.3">
      <c r="A10">
        <v>7</v>
      </c>
      <c r="B10">
        <v>317.08330000000001</v>
      </c>
      <c r="C10">
        <v>1.457886</v>
      </c>
      <c r="D10">
        <v>1</v>
      </c>
      <c r="E10">
        <v>1.8426009999999999</v>
      </c>
      <c r="F10">
        <v>7.6959280000000003</v>
      </c>
      <c r="G10">
        <v>0.35739769999999998</v>
      </c>
      <c r="H10">
        <v>2.3624290000000001</v>
      </c>
      <c r="I10">
        <v>17.23864</v>
      </c>
      <c r="J10">
        <v>8.580883</v>
      </c>
      <c r="K10">
        <v>0</v>
      </c>
      <c r="L10" t="s">
        <v>16</v>
      </c>
    </row>
    <row r="11" spans="1:12" x14ac:dyDescent="0.3">
      <c r="A11">
        <v>7</v>
      </c>
      <c r="B11">
        <v>321.49279999999999</v>
      </c>
      <c r="C11">
        <v>1.5078739999999999</v>
      </c>
      <c r="D11">
        <v>1</v>
      </c>
      <c r="E11">
        <v>1.724702</v>
      </c>
      <c r="F11">
        <v>7.6937680000000004</v>
      </c>
      <c r="G11">
        <v>0.29900009999999999</v>
      </c>
      <c r="H11">
        <v>1.0239020000000001</v>
      </c>
      <c r="I11">
        <v>18.38184</v>
      </c>
      <c r="J11">
        <v>9.7921460000000007</v>
      </c>
      <c r="K11">
        <v>0</v>
      </c>
      <c r="L11" t="s">
        <v>17</v>
      </c>
    </row>
    <row r="12" spans="1:12" x14ac:dyDescent="0.3">
      <c r="A12">
        <v>7</v>
      </c>
      <c r="B12">
        <v>326.69299999999998</v>
      </c>
      <c r="C12">
        <v>1.5913999999999999</v>
      </c>
      <c r="D12">
        <v>1</v>
      </c>
      <c r="E12">
        <v>1.379318</v>
      </c>
      <c r="F12">
        <v>6.5210600000000003</v>
      </c>
      <c r="G12">
        <v>0.28357389999999999</v>
      </c>
      <c r="H12">
        <v>0.44280950000000002</v>
      </c>
      <c r="I12">
        <v>20.305669999999999</v>
      </c>
      <c r="J12">
        <v>11.623760000000001</v>
      </c>
      <c r="K12">
        <v>0</v>
      </c>
      <c r="L12" t="s">
        <v>18</v>
      </c>
    </row>
    <row r="13" spans="1:12" x14ac:dyDescent="0.3">
      <c r="A13">
        <v>7</v>
      </c>
      <c r="B13">
        <v>332.46809999999999</v>
      </c>
      <c r="C13">
        <v>1.4795529999999999</v>
      </c>
      <c r="D13">
        <v>0.9830605</v>
      </c>
      <c r="E13">
        <v>2.513709</v>
      </c>
      <c r="F13">
        <v>6.9813429999999999</v>
      </c>
      <c r="G13">
        <v>0.39907300000000001</v>
      </c>
      <c r="H13">
        <v>8.9293510000000005</v>
      </c>
      <c r="I13">
        <v>17.642980000000001</v>
      </c>
      <c r="J13">
        <v>9.3797979999999992</v>
      </c>
      <c r="K13">
        <v>0</v>
      </c>
      <c r="L13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4"/>
  <sheetViews>
    <sheetView topLeftCell="A25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8</v>
      </c>
      <c r="B2">
        <v>407.87950000000001</v>
      </c>
      <c r="C2">
        <v>1.1145320000000001</v>
      </c>
      <c r="D2">
        <v>1</v>
      </c>
      <c r="E2">
        <v>1.908274</v>
      </c>
      <c r="F2">
        <v>7.3304320000000001</v>
      </c>
      <c r="G2">
        <v>0.1959176</v>
      </c>
      <c r="H2">
        <v>0.1628127</v>
      </c>
      <c r="I2">
        <v>11.45417</v>
      </c>
      <c r="J2">
        <v>3.0716559999999999</v>
      </c>
      <c r="K2">
        <v>0</v>
      </c>
      <c r="L2" t="s">
        <v>12</v>
      </c>
    </row>
    <row r="3" spans="1:12" x14ac:dyDescent="0.3">
      <c r="A3">
        <v>8</v>
      </c>
      <c r="B3">
        <v>414.60919999999999</v>
      </c>
      <c r="C3">
        <v>1.480804</v>
      </c>
      <c r="D3">
        <v>1</v>
      </c>
      <c r="E3">
        <v>2.7056629999999999</v>
      </c>
      <c r="F3">
        <v>9.5889019999999991</v>
      </c>
      <c r="G3">
        <v>0.3592938</v>
      </c>
      <c r="H3">
        <v>1.502257</v>
      </c>
      <c r="I3">
        <v>16.929970000000001</v>
      </c>
      <c r="J3">
        <v>7.7186269999999997</v>
      </c>
      <c r="K3">
        <v>0</v>
      </c>
      <c r="L3" t="s">
        <v>13</v>
      </c>
    </row>
    <row r="4" spans="1:12" x14ac:dyDescent="0.3">
      <c r="A4">
        <v>8</v>
      </c>
      <c r="B4">
        <v>419.85829999999999</v>
      </c>
      <c r="C4">
        <v>2.7167050000000001</v>
      </c>
      <c r="D4">
        <v>0.91127559999999996</v>
      </c>
      <c r="E4">
        <v>2.61328</v>
      </c>
      <c r="F4">
        <v>8.7399660000000008</v>
      </c>
      <c r="G4">
        <v>0.65570260000000002</v>
      </c>
      <c r="H4">
        <v>9.9151480000000003</v>
      </c>
      <c r="I4">
        <v>34.684399999999997</v>
      </c>
      <c r="J4">
        <v>22.62792</v>
      </c>
      <c r="K4">
        <v>1</v>
      </c>
      <c r="L4" t="s">
        <v>14</v>
      </c>
    </row>
    <row r="5" spans="1:12" x14ac:dyDescent="0.3">
      <c r="A5">
        <v>9</v>
      </c>
      <c r="B5">
        <v>432.2801</v>
      </c>
      <c r="C5">
        <v>1.344147</v>
      </c>
      <c r="D5">
        <v>1</v>
      </c>
      <c r="E5">
        <v>2.3641369999999999</v>
      </c>
      <c r="F5">
        <v>9.0336580000000009</v>
      </c>
      <c r="G5">
        <v>0.23805370000000001</v>
      </c>
      <c r="H5">
        <v>1.105307</v>
      </c>
      <c r="I5">
        <v>14.655379999999999</v>
      </c>
      <c r="J5">
        <v>5.8219729999999998</v>
      </c>
      <c r="K5">
        <v>0</v>
      </c>
      <c r="L5" t="s">
        <v>12</v>
      </c>
    </row>
    <row r="6" spans="1:12" x14ac:dyDescent="0.3">
      <c r="A6">
        <v>9</v>
      </c>
      <c r="B6">
        <v>435.43880000000001</v>
      </c>
      <c r="C6">
        <v>1.6342159999999999</v>
      </c>
      <c r="D6">
        <v>1</v>
      </c>
      <c r="E6">
        <v>2.5439409999999998</v>
      </c>
      <c r="F6">
        <v>8.382358</v>
      </c>
      <c r="G6">
        <v>0.57189630000000002</v>
      </c>
      <c r="H6">
        <v>11.964639999999999</v>
      </c>
      <c r="I6">
        <v>20.637149999999998</v>
      </c>
      <c r="J6">
        <v>11.35782</v>
      </c>
      <c r="K6">
        <v>1</v>
      </c>
      <c r="L6" t="s">
        <v>13</v>
      </c>
    </row>
    <row r="7" spans="1:12" x14ac:dyDescent="0.3">
      <c r="A7">
        <v>10</v>
      </c>
      <c r="B7">
        <v>445.28969999999998</v>
      </c>
      <c r="C7">
        <v>1.0974120000000001</v>
      </c>
      <c r="D7">
        <v>1</v>
      </c>
      <c r="E7">
        <v>2.0969310000000001</v>
      </c>
      <c r="F7">
        <v>7.6975049999999996</v>
      </c>
      <c r="G7">
        <v>0.19016060000000001</v>
      </c>
      <c r="H7">
        <v>2.6334840000000002</v>
      </c>
      <c r="I7">
        <v>11.71393</v>
      </c>
      <c r="J7">
        <v>4.3413050000000002</v>
      </c>
      <c r="K7">
        <v>0</v>
      </c>
      <c r="L7" t="s">
        <v>12</v>
      </c>
    </row>
    <row r="8" spans="1:12" x14ac:dyDescent="0.3">
      <c r="A8">
        <v>10</v>
      </c>
      <c r="B8">
        <v>449.63389999999998</v>
      </c>
      <c r="C8">
        <v>1.161835</v>
      </c>
      <c r="D8">
        <v>1</v>
      </c>
      <c r="E8">
        <v>3.159875</v>
      </c>
      <c r="F8">
        <v>11.16774</v>
      </c>
      <c r="G8">
        <v>0.30716310000000002</v>
      </c>
      <c r="H8">
        <v>3.1501990000000002</v>
      </c>
      <c r="I8">
        <v>12.44966</v>
      </c>
      <c r="J8">
        <v>4.6566080000000003</v>
      </c>
      <c r="K8">
        <v>0</v>
      </c>
      <c r="L8" t="s">
        <v>13</v>
      </c>
    </row>
    <row r="9" spans="1:12" x14ac:dyDescent="0.3">
      <c r="A9">
        <v>10</v>
      </c>
      <c r="B9">
        <v>453.75310000000002</v>
      </c>
      <c r="C9">
        <v>1.71637</v>
      </c>
      <c r="D9">
        <v>1</v>
      </c>
      <c r="E9">
        <v>1.856177</v>
      </c>
      <c r="F9">
        <v>5.6169929999999999</v>
      </c>
      <c r="G9">
        <v>0.67634530000000004</v>
      </c>
      <c r="H9">
        <v>9.6131309999999992</v>
      </c>
      <c r="I9">
        <v>24.453849999999999</v>
      </c>
      <c r="J9">
        <v>15.67324</v>
      </c>
      <c r="K9">
        <v>1</v>
      </c>
      <c r="L9" t="s">
        <v>14</v>
      </c>
    </row>
    <row r="10" spans="1:12" x14ac:dyDescent="0.3">
      <c r="A10">
        <v>11</v>
      </c>
      <c r="B10">
        <v>461.85950000000003</v>
      </c>
      <c r="C10">
        <v>1.118042</v>
      </c>
      <c r="D10">
        <v>1</v>
      </c>
      <c r="E10">
        <v>2.538529</v>
      </c>
      <c r="F10">
        <v>9.3346889999999991</v>
      </c>
      <c r="G10">
        <v>0.19638520000000001</v>
      </c>
      <c r="H10">
        <v>1.6203860000000001</v>
      </c>
      <c r="I10">
        <v>11.96561</v>
      </c>
      <c r="J10">
        <v>4.5394690000000004</v>
      </c>
      <c r="K10">
        <v>0</v>
      </c>
      <c r="L10" t="s">
        <v>12</v>
      </c>
    </row>
    <row r="11" spans="1:12" x14ac:dyDescent="0.3">
      <c r="A11">
        <v>11</v>
      </c>
      <c r="B11">
        <v>465.64049999999997</v>
      </c>
      <c r="C11">
        <v>1.6662600000000001</v>
      </c>
      <c r="D11">
        <v>1</v>
      </c>
      <c r="E11">
        <v>2.4825279999999998</v>
      </c>
      <c r="F11">
        <v>8.4321169999999999</v>
      </c>
      <c r="G11">
        <v>0.33100639999999998</v>
      </c>
      <c r="H11">
        <v>2.6665459999999999</v>
      </c>
      <c r="I11">
        <v>18.54804</v>
      </c>
      <c r="J11">
        <v>7.7542580000000001</v>
      </c>
      <c r="K11">
        <v>0</v>
      </c>
      <c r="L11" t="s">
        <v>13</v>
      </c>
    </row>
    <row r="12" spans="1:12" x14ac:dyDescent="0.3">
      <c r="A12">
        <v>11</v>
      </c>
      <c r="B12">
        <v>469.96899999999999</v>
      </c>
      <c r="C12">
        <v>1.2688900000000001</v>
      </c>
      <c r="D12">
        <v>1</v>
      </c>
      <c r="E12">
        <v>3.9363980000000001</v>
      </c>
      <c r="F12">
        <v>14.30715</v>
      </c>
      <c r="G12">
        <v>0.30118129999999999</v>
      </c>
      <c r="H12">
        <v>2.1974849999999999</v>
      </c>
      <c r="I12">
        <v>14.30702</v>
      </c>
      <c r="J12">
        <v>6.2197129999999996</v>
      </c>
      <c r="K12">
        <v>0</v>
      </c>
      <c r="L12" t="s">
        <v>14</v>
      </c>
    </row>
    <row r="13" spans="1:12" x14ac:dyDescent="0.3">
      <c r="A13">
        <v>11</v>
      </c>
      <c r="B13">
        <v>472.2645</v>
      </c>
      <c r="C13">
        <v>0.77667240000000004</v>
      </c>
      <c r="D13">
        <v>1</v>
      </c>
      <c r="E13">
        <v>3.7806359999999999</v>
      </c>
      <c r="F13">
        <v>23.70354</v>
      </c>
      <c r="G13">
        <v>0.1562885</v>
      </c>
      <c r="H13">
        <v>28.18817</v>
      </c>
      <c r="I13">
        <v>5.1038940000000004</v>
      </c>
      <c r="J13">
        <v>3.0981450000000001</v>
      </c>
      <c r="K13">
        <v>0</v>
      </c>
      <c r="L13" t="s">
        <v>15</v>
      </c>
    </row>
    <row r="14" spans="1:12" x14ac:dyDescent="0.3">
      <c r="A14">
        <v>11</v>
      </c>
      <c r="B14">
        <v>477.62049999999999</v>
      </c>
      <c r="C14">
        <v>1.4482729999999999</v>
      </c>
      <c r="D14">
        <v>1</v>
      </c>
      <c r="E14">
        <v>2.987168</v>
      </c>
      <c r="F14">
        <v>9.5760419999999993</v>
      </c>
      <c r="G14">
        <v>0.2621156</v>
      </c>
      <c r="H14">
        <v>1.920331</v>
      </c>
      <c r="I14">
        <v>15.28515</v>
      </c>
      <c r="J14">
        <v>4.7813819999999998</v>
      </c>
      <c r="K14">
        <v>0</v>
      </c>
      <c r="L14" t="s">
        <v>15</v>
      </c>
    </row>
    <row r="15" spans="1:12" x14ac:dyDescent="0.3">
      <c r="A15">
        <v>11</v>
      </c>
      <c r="B15">
        <v>482.10109999999997</v>
      </c>
      <c r="C15">
        <v>1.6145020000000001</v>
      </c>
      <c r="D15">
        <v>1</v>
      </c>
      <c r="E15">
        <v>2.835791</v>
      </c>
      <c r="F15">
        <v>8.6478070000000002</v>
      </c>
      <c r="G15">
        <v>0.40399839999999998</v>
      </c>
      <c r="H15">
        <v>1.843602</v>
      </c>
      <c r="I15">
        <v>18.035620000000002</v>
      </c>
      <c r="J15">
        <v>7.7998839999999996</v>
      </c>
      <c r="K15">
        <v>0</v>
      </c>
      <c r="L15" t="s">
        <v>16</v>
      </c>
    </row>
    <row r="16" spans="1:12" x14ac:dyDescent="0.3">
      <c r="A16">
        <v>11</v>
      </c>
      <c r="B16">
        <v>486.21499999999997</v>
      </c>
      <c r="C16">
        <v>2.6217959999999998</v>
      </c>
      <c r="D16">
        <v>1</v>
      </c>
      <c r="E16">
        <v>4.2634369999999997</v>
      </c>
      <c r="F16">
        <v>12.764390000000001</v>
      </c>
      <c r="G16">
        <v>0.56443849999999995</v>
      </c>
      <c r="H16">
        <v>10.897819999999999</v>
      </c>
      <c r="I16">
        <v>32.064990000000002</v>
      </c>
      <c r="J16">
        <v>16.136610000000001</v>
      </c>
      <c r="K16">
        <v>1</v>
      </c>
      <c r="L16" t="s">
        <v>17</v>
      </c>
    </row>
    <row r="17" spans="1:12" x14ac:dyDescent="0.3">
      <c r="A17">
        <v>12</v>
      </c>
      <c r="B17">
        <v>495.88459999999998</v>
      </c>
      <c r="C17">
        <v>1.3594059999999999</v>
      </c>
      <c r="D17">
        <v>1</v>
      </c>
      <c r="E17">
        <v>2.4267300000000001</v>
      </c>
      <c r="F17">
        <v>8.99986</v>
      </c>
      <c r="G17">
        <v>0.23165649999999999</v>
      </c>
      <c r="H17">
        <v>2.1858089999999999</v>
      </c>
      <c r="I17">
        <v>14.830249999999999</v>
      </c>
      <c r="J17">
        <v>6.0320450000000001</v>
      </c>
      <c r="K17">
        <v>0</v>
      </c>
      <c r="L17" t="s">
        <v>12</v>
      </c>
    </row>
    <row r="18" spans="1:12" x14ac:dyDescent="0.3">
      <c r="A18">
        <v>12</v>
      </c>
      <c r="B18">
        <v>500.76519999999999</v>
      </c>
      <c r="C18">
        <v>1.2290650000000001</v>
      </c>
      <c r="D18">
        <v>1</v>
      </c>
      <c r="E18">
        <v>2.5921799999999999</v>
      </c>
      <c r="F18">
        <v>9.0208410000000008</v>
      </c>
      <c r="G18">
        <v>0.2228096</v>
      </c>
      <c r="H18">
        <v>0.92695839999999996</v>
      </c>
      <c r="I18">
        <v>13.218310000000001</v>
      </c>
      <c r="J18">
        <v>4.9346199999999998</v>
      </c>
      <c r="K18">
        <v>0</v>
      </c>
      <c r="L18" t="s">
        <v>13</v>
      </c>
    </row>
    <row r="19" spans="1:12" x14ac:dyDescent="0.3">
      <c r="A19">
        <v>12</v>
      </c>
      <c r="B19">
        <v>504.05849999999998</v>
      </c>
      <c r="C19">
        <v>0.89282229999999996</v>
      </c>
      <c r="D19">
        <v>1</v>
      </c>
      <c r="E19">
        <v>3.7717869999999998</v>
      </c>
      <c r="F19">
        <v>12.979570000000001</v>
      </c>
      <c r="G19">
        <v>0.26443990000000001</v>
      </c>
      <c r="H19">
        <v>2.8952680000000002</v>
      </c>
      <c r="I19">
        <v>9.8802050000000001</v>
      </c>
      <c r="J19">
        <v>3.8072059999999999</v>
      </c>
      <c r="K19">
        <v>0</v>
      </c>
      <c r="L19" t="s">
        <v>14</v>
      </c>
    </row>
    <row r="20" spans="1:12" x14ac:dyDescent="0.3">
      <c r="A20">
        <v>12</v>
      </c>
      <c r="B20">
        <v>505.95859999999999</v>
      </c>
      <c r="C20">
        <v>1.3685909999999999</v>
      </c>
      <c r="D20">
        <v>0.23843980000000001</v>
      </c>
      <c r="E20">
        <v>5.478326</v>
      </c>
      <c r="F20">
        <v>31.989570000000001</v>
      </c>
      <c r="G20">
        <v>0.40579009999999999</v>
      </c>
      <c r="H20">
        <v>27.830010000000001</v>
      </c>
      <c r="I20">
        <v>10.44646</v>
      </c>
      <c r="J20">
        <v>9.4125399999999999</v>
      </c>
      <c r="K20">
        <v>1</v>
      </c>
      <c r="L20" t="s">
        <v>15</v>
      </c>
    </row>
    <row r="21" spans="1:12" x14ac:dyDescent="0.3">
      <c r="A21">
        <v>13</v>
      </c>
      <c r="B21">
        <v>514.48099999999999</v>
      </c>
      <c r="C21">
        <v>1.4498899999999999</v>
      </c>
      <c r="D21">
        <v>1</v>
      </c>
      <c r="E21">
        <v>2.4331170000000002</v>
      </c>
      <c r="F21">
        <v>9.1134620000000002</v>
      </c>
      <c r="G21">
        <v>0.2929737</v>
      </c>
      <c r="H21">
        <v>2.1076229999999998</v>
      </c>
      <c r="I21">
        <v>16.018840000000001</v>
      </c>
      <c r="J21">
        <v>6.6506569999999998</v>
      </c>
      <c r="K21">
        <v>0</v>
      </c>
      <c r="L21" t="s">
        <v>12</v>
      </c>
    </row>
    <row r="22" spans="1:12" x14ac:dyDescent="0.3">
      <c r="A22">
        <v>13</v>
      </c>
      <c r="B22">
        <v>518.50630000000001</v>
      </c>
      <c r="C22">
        <v>1.6143799999999999</v>
      </c>
      <c r="D22">
        <v>1</v>
      </c>
      <c r="E22">
        <v>2.6554959999999999</v>
      </c>
      <c r="F22">
        <v>9.2799160000000001</v>
      </c>
      <c r="G22">
        <v>0.35372900000000002</v>
      </c>
      <c r="H22">
        <v>3.5892499999999998</v>
      </c>
      <c r="I22">
        <v>17.741620000000001</v>
      </c>
      <c r="J22">
        <v>7.1668649999999996</v>
      </c>
      <c r="K22">
        <v>0</v>
      </c>
      <c r="L22" t="s">
        <v>13</v>
      </c>
    </row>
    <row r="23" spans="1:12" x14ac:dyDescent="0.3">
      <c r="A23">
        <v>13</v>
      </c>
      <c r="B23">
        <v>522.6182</v>
      </c>
      <c r="C23">
        <v>1.353394</v>
      </c>
      <c r="D23">
        <v>1</v>
      </c>
      <c r="E23">
        <v>3.320478</v>
      </c>
      <c r="F23">
        <v>12.95276</v>
      </c>
      <c r="G23">
        <v>0.22415309999999999</v>
      </c>
      <c r="H23">
        <v>1.0667450000000001</v>
      </c>
      <c r="I23">
        <v>14.612120000000001</v>
      </c>
      <c r="J23">
        <v>4.7736020000000003</v>
      </c>
      <c r="K23">
        <v>0</v>
      </c>
      <c r="L23" t="s">
        <v>14</v>
      </c>
    </row>
    <row r="24" spans="1:12" x14ac:dyDescent="0.3">
      <c r="A24">
        <v>13</v>
      </c>
      <c r="B24">
        <v>526.04229999999995</v>
      </c>
      <c r="C24">
        <v>1.4896849999999999</v>
      </c>
      <c r="D24">
        <v>1</v>
      </c>
      <c r="E24">
        <v>3.4815160000000001</v>
      </c>
      <c r="F24">
        <v>9.9172030000000007</v>
      </c>
      <c r="G24">
        <v>0.56058600000000003</v>
      </c>
      <c r="H24">
        <v>9.6453980000000001</v>
      </c>
      <c r="I24">
        <v>20.36138</v>
      </c>
      <c r="J24">
        <v>12.00769</v>
      </c>
      <c r="K24">
        <v>1</v>
      </c>
      <c r="L24" t="s">
        <v>15</v>
      </c>
    </row>
    <row r="25" spans="1:12" x14ac:dyDescent="0.3">
      <c r="A25">
        <v>14</v>
      </c>
      <c r="B25">
        <v>533.14620000000002</v>
      </c>
      <c r="C25">
        <v>1.0600590000000001</v>
      </c>
      <c r="D25">
        <v>1</v>
      </c>
      <c r="E25">
        <v>1.9426190000000001</v>
      </c>
      <c r="F25">
        <v>7.5508119999999996</v>
      </c>
      <c r="G25">
        <v>0.2337438</v>
      </c>
      <c r="H25">
        <v>0.4732499</v>
      </c>
      <c r="I25">
        <v>11.32</v>
      </c>
      <c r="J25">
        <v>4.2115179999999999</v>
      </c>
      <c r="K25">
        <v>0</v>
      </c>
      <c r="L25" t="s">
        <v>12</v>
      </c>
    </row>
    <row r="26" spans="1:12" x14ac:dyDescent="0.3">
      <c r="A26">
        <v>14</v>
      </c>
      <c r="B26">
        <v>536.78830000000005</v>
      </c>
      <c r="C26">
        <v>3.2941889999999998</v>
      </c>
      <c r="D26">
        <v>0.98928709999999997</v>
      </c>
      <c r="E26">
        <v>3.2669130000000002</v>
      </c>
      <c r="F26">
        <v>9.8399079999999994</v>
      </c>
      <c r="G26">
        <v>0.71058449999999995</v>
      </c>
      <c r="H26">
        <v>15.620200000000001</v>
      </c>
      <c r="I26">
        <v>41.832819999999998</v>
      </c>
      <c r="J26">
        <v>23.146419999999999</v>
      </c>
      <c r="K26">
        <v>1</v>
      </c>
      <c r="L26" t="s">
        <v>13</v>
      </c>
    </row>
    <row r="27" spans="1:12" x14ac:dyDescent="0.3">
      <c r="A27">
        <v>15</v>
      </c>
      <c r="B27">
        <v>546.16300000000001</v>
      </c>
      <c r="C27">
        <v>1.5825199999999999</v>
      </c>
      <c r="D27">
        <v>1</v>
      </c>
      <c r="E27">
        <v>2.2015030000000002</v>
      </c>
      <c r="F27">
        <v>8.5038719999999994</v>
      </c>
      <c r="G27">
        <v>0.27332790000000001</v>
      </c>
      <c r="H27">
        <v>2.2700089999999999</v>
      </c>
      <c r="I27">
        <v>17.603999999999999</v>
      </c>
      <c r="J27">
        <v>7.4835739999999999</v>
      </c>
      <c r="K27">
        <v>0</v>
      </c>
      <c r="L27" t="s">
        <v>12</v>
      </c>
    </row>
    <row r="28" spans="1:12" x14ac:dyDescent="0.3">
      <c r="A28">
        <v>15</v>
      </c>
      <c r="B28">
        <v>550.03530000000001</v>
      </c>
      <c r="C28">
        <v>1.2355959999999999</v>
      </c>
      <c r="D28">
        <v>1</v>
      </c>
      <c r="E28">
        <v>2.6893590000000001</v>
      </c>
      <c r="F28">
        <v>7.8087949999999999</v>
      </c>
      <c r="G28">
        <v>0.39596930000000002</v>
      </c>
      <c r="H28">
        <v>2.2137349999999998</v>
      </c>
      <c r="I28">
        <v>15.15366</v>
      </c>
      <c r="J28">
        <v>8.2774699999999992</v>
      </c>
      <c r="K28">
        <v>0</v>
      </c>
      <c r="L28" t="s">
        <v>13</v>
      </c>
    </row>
    <row r="29" spans="1:12" x14ac:dyDescent="0.3">
      <c r="A29">
        <v>15</v>
      </c>
      <c r="B29">
        <v>554.0752</v>
      </c>
      <c r="C29">
        <v>1.2213750000000001</v>
      </c>
      <c r="D29">
        <v>1</v>
      </c>
      <c r="E29">
        <v>3.2438099999999999</v>
      </c>
      <c r="F29">
        <v>12.16582</v>
      </c>
      <c r="G29">
        <v>0.2472385</v>
      </c>
      <c r="H29">
        <v>1.814443</v>
      </c>
      <c r="I29">
        <v>13.331659999999999</v>
      </c>
      <c r="J29">
        <v>4.7713260000000002</v>
      </c>
      <c r="K29">
        <v>0</v>
      </c>
      <c r="L29" t="s">
        <v>14</v>
      </c>
    </row>
    <row r="30" spans="1:12" x14ac:dyDescent="0.3">
      <c r="A30">
        <v>15</v>
      </c>
      <c r="B30">
        <v>558.25369999999998</v>
      </c>
      <c r="C30">
        <v>1.6600950000000001</v>
      </c>
      <c r="D30">
        <v>1</v>
      </c>
      <c r="E30">
        <v>2.6603370000000002</v>
      </c>
      <c r="F30">
        <v>7.9947679999999997</v>
      </c>
      <c r="G30">
        <v>0.35964780000000002</v>
      </c>
      <c r="H30">
        <v>2.1273559999999998</v>
      </c>
      <c r="I30">
        <v>18.30179</v>
      </c>
      <c r="J30">
        <v>7.4278680000000001</v>
      </c>
      <c r="K30">
        <v>0</v>
      </c>
      <c r="L30" t="s">
        <v>15</v>
      </c>
    </row>
    <row r="31" spans="1:12" x14ac:dyDescent="0.3">
      <c r="A31">
        <v>15</v>
      </c>
      <c r="B31">
        <v>562.62040000000002</v>
      </c>
      <c r="C31">
        <v>1.4107670000000001</v>
      </c>
      <c r="D31">
        <v>1</v>
      </c>
      <c r="E31">
        <v>2.4741469999999999</v>
      </c>
      <c r="F31">
        <v>8.1465589999999999</v>
      </c>
      <c r="G31">
        <v>0.30799910000000003</v>
      </c>
      <c r="H31">
        <v>1.7083090000000001</v>
      </c>
      <c r="I31">
        <v>15.48893</v>
      </c>
      <c r="J31">
        <v>6.2671669999999997</v>
      </c>
      <c r="K31">
        <v>0</v>
      </c>
      <c r="L31" t="s">
        <v>16</v>
      </c>
    </row>
    <row r="32" spans="1:12" x14ac:dyDescent="0.3">
      <c r="A32">
        <v>15</v>
      </c>
      <c r="B32">
        <v>566.45939999999996</v>
      </c>
      <c r="C32">
        <v>2.1959230000000001</v>
      </c>
      <c r="D32">
        <v>1</v>
      </c>
      <c r="E32">
        <v>2.8211219999999999</v>
      </c>
      <c r="F32">
        <v>9.2827260000000003</v>
      </c>
      <c r="G32">
        <v>0.53546740000000004</v>
      </c>
      <c r="H32">
        <v>1.971679</v>
      </c>
      <c r="I32">
        <v>24.9207</v>
      </c>
      <c r="J32">
        <v>12.38899</v>
      </c>
      <c r="K32">
        <v>0</v>
      </c>
      <c r="L32" t="s">
        <v>17</v>
      </c>
    </row>
    <row r="33" spans="1:12" x14ac:dyDescent="0.3">
      <c r="A33">
        <v>15</v>
      </c>
      <c r="B33">
        <v>572.93020000000001</v>
      </c>
      <c r="C33">
        <v>2.2137449999999999</v>
      </c>
      <c r="D33">
        <v>1</v>
      </c>
      <c r="E33">
        <v>2.2304849999999998</v>
      </c>
      <c r="F33">
        <v>7.8795229999999998</v>
      </c>
      <c r="G33">
        <v>0.4955232</v>
      </c>
      <c r="H33">
        <v>2.5824940000000001</v>
      </c>
      <c r="I33">
        <v>26.042770000000001</v>
      </c>
      <c r="J33">
        <v>14.216139999999999</v>
      </c>
      <c r="K33">
        <v>0</v>
      </c>
      <c r="L33" t="s">
        <v>18</v>
      </c>
    </row>
    <row r="34" spans="1:12" x14ac:dyDescent="0.3">
      <c r="A34">
        <v>15</v>
      </c>
      <c r="B34">
        <v>580.07820000000004</v>
      </c>
      <c r="C34">
        <v>2.2917480000000001</v>
      </c>
      <c r="D34">
        <v>0.93347100000000005</v>
      </c>
      <c r="E34">
        <v>4.7016239999999998</v>
      </c>
      <c r="F34">
        <v>9.3116810000000001</v>
      </c>
      <c r="G34">
        <v>0.66903849999999998</v>
      </c>
      <c r="H34">
        <v>11.075889999999999</v>
      </c>
      <c r="I34">
        <v>26.760590000000001</v>
      </c>
      <c r="J34">
        <v>16.406479999999998</v>
      </c>
      <c r="K34">
        <v>0</v>
      </c>
      <c r="L34" t="s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1"/>
  <sheetViews>
    <sheetView workbookViewId="0">
      <selection activeCell="E26" sqref="E2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8</v>
      </c>
      <c r="B2">
        <v>460.72859999999997</v>
      </c>
      <c r="C2">
        <v>1.339966</v>
      </c>
      <c r="D2">
        <v>1</v>
      </c>
      <c r="E2">
        <v>1.4623170000000001</v>
      </c>
      <c r="F2">
        <v>7.4776470000000002</v>
      </c>
      <c r="G2">
        <v>0.21157429999999999</v>
      </c>
      <c r="H2">
        <v>2.1999050000000002</v>
      </c>
      <c r="I2">
        <v>15.84023</v>
      </c>
      <c r="J2">
        <v>8.0823490000000007</v>
      </c>
      <c r="K2">
        <v>0</v>
      </c>
      <c r="L2" t="s">
        <v>12</v>
      </c>
    </row>
    <row r="3" spans="1:12" x14ac:dyDescent="0.3">
      <c r="A3">
        <v>8</v>
      </c>
      <c r="B3">
        <v>467.07080000000002</v>
      </c>
      <c r="C3">
        <v>2.2485050000000002</v>
      </c>
      <c r="D3">
        <v>1</v>
      </c>
      <c r="E3">
        <v>1.3632930000000001</v>
      </c>
      <c r="F3">
        <v>4.8590239999999998</v>
      </c>
      <c r="G3">
        <v>0.57730630000000005</v>
      </c>
      <c r="H3">
        <v>11.89889</v>
      </c>
      <c r="I3">
        <v>34.22945</v>
      </c>
      <c r="J3">
        <v>25.586069999999999</v>
      </c>
      <c r="K3">
        <v>1</v>
      </c>
      <c r="L3" t="s">
        <v>13</v>
      </c>
    </row>
    <row r="4" spans="1:12" x14ac:dyDescent="0.3">
      <c r="A4">
        <v>9</v>
      </c>
      <c r="B4">
        <v>474.82409999999999</v>
      </c>
      <c r="C4">
        <v>1.3556520000000001</v>
      </c>
      <c r="D4">
        <v>1</v>
      </c>
      <c r="E4">
        <v>1.5244979999999999</v>
      </c>
      <c r="F4">
        <v>8.2526919999999997</v>
      </c>
      <c r="G4">
        <v>0.2410284</v>
      </c>
      <c r="H4">
        <v>2.2540040000000001</v>
      </c>
      <c r="I4">
        <v>15.517099999999999</v>
      </c>
      <c r="J4">
        <v>8.7910009999999996</v>
      </c>
      <c r="K4">
        <v>0</v>
      </c>
      <c r="L4" t="s">
        <v>12</v>
      </c>
    </row>
    <row r="5" spans="1:12" x14ac:dyDescent="0.3">
      <c r="A5">
        <v>9</v>
      </c>
      <c r="B5">
        <v>480.16500000000002</v>
      </c>
      <c r="C5">
        <v>1.8819889999999999</v>
      </c>
      <c r="D5">
        <v>1</v>
      </c>
      <c r="E5">
        <v>2.0432670000000002</v>
      </c>
      <c r="F5">
        <v>8.1500610000000009</v>
      </c>
      <c r="G5">
        <v>0.43781720000000002</v>
      </c>
      <c r="H5">
        <v>3.16995</v>
      </c>
      <c r="I5">
        <v>23.56635</v>
      </c>
      <c r="J5">
        <v>14.37313</v>
      </c>
      <c r="K5">
        <v>0</v>
      </c>
      <c r="L5" t="s">
        <v>13</v>
      </c>
    </row>
    <row r="6" spans="1:12" x14ac:dyDescent="0.3">
      <c r="A6">
        <v>9</v>
      </c>
      <c r="B6">
        <v>485.58019999999999</v>
      </c>
      <c r="C6">
        <v>1.179413</v>
      </c>
      <c r="D6">
        <v>1</v>
      </c>
      <c r="E6">
        <v>1.949673</v>
      </c>
      <c r="F6">
        <v>9.1646429999999999</v>
      </c>
      <c r="G6">
        <v>0.2183592</v>
      </c>
      <c r="H6">
        <v>0.61770009999999997</v>
      </c>
      <c r="I6">
        <v>14.8917</v>
      </c>
      <c r="J6">
        <v>8.2004699999999993</v>
      </c>
      <c r="K6">
        <v>0</v>
      </c>
      <c r="L6" t="s">
        <v>14</v>
      </c>
    </row>
    <row r="7" spans="1:12" x14ac:dyDescent="0.3">
      <c r="A7">
        <v>9</v>
      </c>
      <c r="B7">
        <v>490.31150000000002</v>
      </c>
      <c r="C7">
        <v>1.965454</v>
      </c>
      <c r="D7">
        <v>1</v>
      </c>
      <c r="E7">
        <v>1.344794</v>
      </c>
      <c r="F7">
        <v>5.4481650000000004</v>
      </c>
      <c r="G7">
        <v>0.32382559999999999</v>
      </c>
      <c r="H7">
        <v>2.0337019999999999</v>
      </c>
      <c r="I7">
        <v>26.90493</v>
      </c>
      <c r="J7">
        <v>17.112870000000001</v>
      </c>
      <c r="K7">
        <v>0</v>
      </c>
      <c r="L7" t="s">
        <v>15</v>
      </c>
    </row>
    <row r="8" spans="1:12" x14ac:dyDescent="0.3">
      <c r="A8">
        <v>9</v>
      </c>
      <c r="B8">
        <v>497.28710000000001</v>
      </c>
      <c r="C8">
        <v>1.935883</v>
      </c>
      <c r="D8">
        <v>1</v>
      </c>
      <c r="E8">
        <v>1.6893849999999999</v>
      </c>
      <c r="F8">
        <v>6.5412990000000004</v>
      </c>
      <c r="G8">
        <v>0.35246499999999997</v>
      </c>
      <c r="H8">
        <v>1.3320019999999999</v>
      </c>
      <c r="I8">
        <v>25.309909999999999</v>
      </c>
      <c r="J8">
        <v>16.577359999999999</v>
      </c>
      <c r="K8">
        <v>0</v>
      </c>
      <c r="L8" t="s">
        <v>16</v>
      </c>
    </row>
    <row r="9" spans="1:12" x14ac:dyDescent="0.3">
      <c r="A9">
        <v>9</v>
      </c>
      <c r="B9">
        <v>504.29</v>
      </c>
      <c r="C9">
        <v>1.9758910000000001</v>
      </c>
      <c r="D9">
        <v>1</v>
      </c>
      <c r="E9">
        <v>1.44604</v>
      </c>
      <c r="F9">
        <v>4.9360970000000002</v>
      </c>
      <c r="G9">
        <v>0.40980810000000001</v>
      </c>
      <c r="H9">
        <v>1.6930989999999999</v>
      </c>
      <c r="I9">
        <v>29.29522</v>
      </c>
      <c r="J9">
        <v>20.235199999999999</v>
      </c>
      <c r="K9">
        <v>0</v>
      </c>
      <c r="L9" t="s">
        <v>17</v>
      </c>
    </row>
    <row r="10" spans="1:12" x14ac:dyDescent="0.3">
      <c r="A10">
        <v>9</v>
      </c>
      <c r="B10">
        <v>518.89329999999995</v>
      </c>
      <c r="C10">
        <v>1.8737790000000001</v>
      </c>
      <c r="D10">
        <v>1</v>
      </c>
      <c r="E10">
        <v>1.9706459999999999</v>
      </c>
      <c r="F10">
        <v>10.16544</v>
      </c>
      <c r="G10">
        <v>0.22942489999999999</v>
      </c>
      <c r="H10">
        <v>1.791849</v>
      </c>
      <c r="I10">
        <v>22.293600000000001</v>
      </c>
      <c r="J10">
        <v>10.47569</v>
      </c>
      <c r="K10">
        <v>0</v>
      </c>
      <c r="L10" t="s">
        <v>18</v>
      </c>
    </row>
    <row r="11" spans="1:12" x14ac:dyDescent="0.3">
      <c r="A11">
        <v>9</v>
      </c>
      <c r="B11">
        <v>525.31920000000002</v>
      </c>
      <c r="C11">
        <v>1.4852909999999999</v>
      </c>
      <c r="D11">
        <v>0.99491510000000005</v>
      </c>
      <c r="E11">
        <v>2.1934079999999998</v>
      </c>
      <c r="F11">
        <v>6.2833899999999998</v>
      </c>
      <c r="G11">
        <v>0.40195599999999998</v>
      </c>
      <c r="H11">
        <v>8.6858219999999999</v>
      </c>
      <c r="I11">
        <v>17.803100000000001</v>
      </c>
      <c r="J11">
        <v>9.5693350000000006</v>
      </c>
      <c r="K11">
        <v>0</v>
      </c>
      <c r="L11" t="s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10</v>
      </c>
      <c r="B2">
        <v>495.98140000000001</v>
      </c>
      <c r="C2">
        <v>1.318451</v>
      </c>
      <c r="D2">
        <v>1</v>
      </c>
      <c r="E2">
        <v>2.7921589999999998</v>
      </c>
      <c r="F2">
        <v>9.3306260000000005</v>
      </c>
      <c r="G2">
        <v>0.36094959999999998</v>
      </c>
      <c r="H2">
        <v>1.85484</v>
      </c>
      <c r="I2">
        <v>14.36384</v>
      </c>
      <c r="J2">
        <v>6.4882559999999998</v>
      </c>
      <c r="K2">
        <v>0</v>
      </c>
      <c r="L2" t="s">
        <v>12</v>
      </c>
    </row>
    <row r="3" spans="1:12" x14ac:dyDescent="0.3">
      <c r="A3">
        <v>10</v>
      </c>
      <c r="B3">
        <v>500.01389999999998</v>
      </c>
      <c r="C3">
        <v>1.4555659999999999</v>
      </c>
      <c r="D3">
        <v>1</v>
      </c>
      <c r="E3">
        <v>3.1002740000000002</v>
      </c>
      <c r="F3">
        <v>9.2615909999999992</v>
      </c>
      <c r="G3">
        <v>0.40502110000000002</v>
      </c>
      <c r="H3">
        <v>2.2661159999999998</v>
      </c>
      <c r="I3">
        <v>16.067769999999999</v>
      </c>
      <c r="J3">
        <v>9.1307209999999994</v>
      </c>
      <c r="K3">
        <v>0</v>
      </c>
      <c r="L3" t="s">
        <v>13</v>
      </c>
    </row>
    <row r="4" spans="1:12" x14ac:dyDescent="0.3">
      <c r="A4">
        <v>10</v>
      </c>
      <c r="B4">
        <v>504.7527</v>
      </c>
      <c r="C4">
        <v>1.2211000000000001</v>
      </c>
      <c r="D4">
        <v>1</v>
      </c>
      <c r="E4">
        <v>5.7481900000000001</v>
      </c>
      <c r="F4">
        <v>18.588010000000001</v>
      </c>
      <c r="G4">
        <v>0.24134729999999999</v>
      </c>
      <c r="H4">
        <v>1.987222</v>
      </c>
      <c r="I4">
        <v>12.67892</v>
      </c>
      <c r="J4">
        <v>3.8948339999999999</v>
      </c>
      <c r="K4">
        <v>0</v>
      </c>
      <c r="L4" t="s">
        <v>14</v>
      </c>
    </row>
    <row r="5" spans="1:12" x14ac:dyDescent="0.3">
      <c r="A5">
        <v>10</v>
      </c>
      <c r="B5">
        <v>510.59320000000002</v>
      </c>
      <c r="C5">
        <v>1.5476989999999999</v>
      </c>
      <c r="D5">
        <v>1</v>
      </c>
      <c r="E5">
        <v>4.6869709999999998</v>
      </c>
      <c r="F5">
        <v>12.907260000000001</v>
      </c>
      <c r="G5">
        <v>0.20564760000000001</v>
      </c>
      <c r="H5">
        <v>2.3125330000000002</v>
      </c>
      <c r="I5">
        <v>15.61445</v>
      </c>
      <c r="J5">
        <v>2.9889749999999999</v>
      </c>
      <c r="K5">
        <v>0</v>
      </c>
      <c r="L5" t="s">
        <v>15</v>
      </c>
    </row>
    <row r="6" spans="1:12" x14ac:dyDescent="0.3">
      <c r="A6">
        <v>10</v>
      </c>
      <c r="B6">
        <v>516.22249999999997</v>
      </c>
      <c r="C6">
        <v>1.7216800000000001</v>
      </c>
      <c r="D6">
        <v>1</v>
      </c>
      <c r="E6">
        <v>5.3254080000000004</v>
      </c>
      <c r="F6">
        <v>15.367459999999999</v>
      </c>
      <c r="G6">
        <v>0.32608939999999997</v>
      </c>
      <c r="H6">
        <v>1.2598879999999999</v>
      </c>
      <c r="I6">
        <v>17.67343</v>
      </c>
      <c r="J6">
        <v>4.1686579999999998</v>
      </c>
      <c r="K6">
        <v>0</v>
      </c>
      <c r="L6" t="s">
        <v>16</v>
      </c>
    </row>
    <row r="7" spans="1:12" x14ac:dyDescent="0.3">
      <c r="A7">
        <v>10</v>
      </c>
      <c r="B7">
        <v>520.5729</v>
      </c>
      <c r="C7">
        <v>1.680115</v>
      </c>
      <c r="D7">
        <v>1</v>
      </c>
      <c r="E7">
        <v>2.6392769999999999</v>
      </c>
      <c r="F7">
        <v>8.5334310000000002</v>
      </c>
      <c r="G7">
        <v>0.31977220000000001</v>
      </c>
      <c r="H7">
        <v>1.3249839999999999</v>
      </c>
      <c r="I7">
        <v>18.247910000000001</v>
      </c>
      <c r="J7">
        <v>6.545077</v>
      </c>
      <c r="K7">
        <v>0</v>
      </c>
      <c r="L7" t="s">
        <v>17</v>
      </c>
    </row>
    <row r="8" spans="1:12" x14ac:dyDescent="0.3">
      <c r="A8">
        <v>10</v>
      </c>
      <c r="B8">
        <v>526.22910000000002</v>
      </c>
      <c r="C8">
        <v>1.5845340000000001</v>
      </c>
      <c r="D8">
        <v>1</v>
      </c>
      <c r="E8">
        <v>3.8590499999999999</v>
      </c>
      <c r="F8">
        <v>12.888199999999999</v>
      </c>
      <c r="G8">
        <v>0.27158579999999999</v>
      </c>
      <c r="H8">
        <v>1.757002</v>
      </c>
      <c r="I8">
        <v>16.46837</v>
      </c>
      <c r="J8">
        <v>4.0810979999999999</v>
      </c>
      <c r="K8">
        <v>0</v>
      </c>
      <c r="L8" t="s">
        <v>18</v>
      </c>
    </row>
    <row r="9" spans="1:12" x14ac:dyDescent="0.3">
      <c r="A9">
        <v>10</v>
      </c>
      <c r="B9">
        <v>533.91750000000002</v>
      </c>
      <c r="C9">
        <v>1.906555</v>
      </c>
      <c r="D9">
        <v>1</v>
      </c>
      <c r="E9">
        <v>5.6201109999999996</v>
      </c>
      <c r="F9">
        <v>13.434139999999999</v>
      </c>
      <c r="G9">
        <v>0.51851899999999995</v>
      </c>
      <c r="H9">
        <v>6.9111279999999997</v>
      </c>
      <c r="I9">
        <v>17.570509999999999</v>
      </c>
      <c r="J9">
        <v>8.095402</v>
      </c>
      <c r="K9">
        <v>0</v>
      </c>
      <c r="L9" t="s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12</v>
      </c>
      <c r="B2">
        <v>532.56989999999996</v>
      </c>
      <c r="C2">
        <v>1.4194340000000001</v>
      </c>
      <c r="D2">
        <v>1</v>
      </c>
      <c r="E2">
        <v>2.7249150000000002</v>
      </c>
      <c r="F2">
        <v>10.11077</v>
      </c>
      <c r="G2">
        <v>0.26966230000000002</v>
      </c>
      <c r="H2">
        <v>1.9279930000000001</v>
      </c>
      <c r="I2">
        <v>15.36185</v>
      </c>
      <c r="J2">
        <v>7.4899889999999996</v>
      </c>
      <c r="K2">
        <v>0</v>
      </c>
      <c r="L2" t="s">
        <v>12</v>
      </c>
    </row>
    <row r="3" spans="1:12" x14ac:dyDescent="0.3">
      <c r="A3">
        <v>12</v>
      </c>
      <c r="B3">
        <v>538.00649999999996</v>
      </c>
      <c r="C3">
        <v>0.78436280000000003</v>
      </c>
      <c r="D3">
        <v>1</v>
      </c>
      <c r="E3">
        <v>3.91587</v>
      </c>
      <c r="F3">
        <v>11.570880000000001</v>
      </c>
      <c r="G3">
        <v>0.26267180000000001</v>
      </c>
      <c r="H3">
        <v>1.0561990000000001</v>
      </c>
      <c r="I3">
        <v>8.7990429999999993</v>
      </c>
      <c r="J3">
        <v>3.5182220000000002</v>
      </c>
      <c r="K3">
        <v>0</v>
      </c>
      <c r="L3" t="s">
        <v>13</v>
      </c>
    </row>
    <row r="4" spans="1:12" x14ac:dyDescent="0.3">
      <c r="A4">
        <v>12</v>
      </c>
      <c r="B4">
        <v>540.27800000000002</v>
      </c>
      <c r="C4">
        <v>0.87371829999999995</v>
      </c>
      <c r="D4">
        <v>1</v>
      </c>
      <c r="E4">
        <v>2.7001759999999999</v>
      </c>
      <c r="F4">
        <v>8.1091920000000002</v>
      </c>
      <c r="G4">
        <v>0.30460930000000003</v>
      </c>
      <c r="H4">
        <v>0.99177970000000004</v>
      </c>
      <c r="I4">
        <v>11.32122</v>
      </c>
      <c r="J4">
        <v>5.708577</v>
      </c>
      <c r="K4">
        <v>0</v>
      </c>
      <c r="L4" t="s">
        <v>14</v>
      </c>
    </row>
    <row r="5" spans="1:12" x14ac:dyDescent="0.3">
      <c r="A5">
        <v>12</v>
      </c>
      <c r="B5">
        <v>544.59960000000001</v>
      </c>
      <c r="C5">
        <v>0.98559569999999996</v>
      </c>
      <c r="D5">
        <v>1</v>
      </c>
      <c r="E5">
        <v>1.913724</v>
      </c>
      <c r="F5">
        <v>6.3365619999999998</v>
      </c>
      <c r="G5">
        <v>0.18636449999999999</v>
      </c>
      <c r="H5">
        <v>3.4351739999999999</v>
      </c>
      <c r="I5">
        <v>10.570449999999999</v>
      </c>
      <c r="J5">
        <v>3.9526910000000002</v>
      </c>
      <c r="K5">
        <v>0</v>
      </c>
      <c r="L5" t="s">
        <v>15</v>
      </c>
    </row>
    <row r="6" spans="1:12" x14ac:dyDescent="0.3">
      <c r="A6">
        <v>12</v>
      </c>
      <c r="B6">
        <v>549.16840000000002</v>
      </c>
      <c r="C6">
        <v>1.326965</v>
      </c>
      <c r="D6">
        <v>1</v>
      </c>
      <c r="E6">
        <v>3.3362500000000002</v>
      </c>
      <c r="F6">
        <v>7.3764909999999997</v>
      </c>
      <c r="G6">
        <v>0.49097629999999998</v>
      </c>
      <c r="H6">
        <v>0.9782208</v>
      </c>
      <c r="I6">
        <v>16.73442</v>
      </c>
      <c r="J6">
        <v>9.527253</v>
      </c>
      <c r="K6">
        <v>0</v>
      </c>
      <c r="L6" t="s">
        <v>16</v>
      </c>
    </row>
    <row r="7" spans="1:12" x14ac:dyDescent="0.3">
      <c r="A7">
        <v>12</v>
      </c>
      <c r="B7">
        <v>554.24279999999999</v>
      </c>
      <c r="C7">
        <v>1.831116</v>
      </c>
      <c r="D7">
        <v>1</v>
      </c>
      <c r="E7">
        <v>2.6034169999999999</v>
      </c>
      <c r="F7">
        <v>6.3638089999999998</v>
      </c>
      <c r="G7">
        <v>0.53367799999999999</v>
      </c>
      <c r="H7">
        <v>1.0823769999999999</v>
      </c>
      <c r="I7">
        <v>25.773119999999999</v>
      </c>
      <c r="J7">
        <v>17.385660000000001</v>
      </c>
      <c r="K7">
        <v>0</v>
      </c>
      <c r="L7" t="s">
        <v>17</v>
      </c>
    </row>
    <row r="8" spans="1:12" x14ac:dyDescent="0.3">
      <c r="A8">
        <v>12</v>
      </c>
      <c r="B8">
        <v>559.07860000000005</v>
      </c>
      <c r="C8">
        <v>2.541382</v>
      </c>
      <c r="D8">
        <v>1</v>
      </c>
      <c r="E8">
        <v>1.950752</v>
      </c>
      <c r="F8">
        <v>4.9081539999999997</v>
      </c>
      <c r="G8">
        <v>0.69098979999999999</v>
      </c>
      <c r="H8">
        <v>2.5230109999999999</v>
      </c>
      <c r="I8">
        <v>40.142580000000002</v>
      </c>
      <c r="J8">
        <v>31.193090000000002</v>
      </c>
      <c r="K8">
        <v>0</v>
      </c>
      <c r="L8" t="s">
        <v>18</v>
      </c>
    </row>
    <row r="9" spans="1:12" x14ac:dyDescent="0.3">
      <c r="A9">
        <v>13</v>
      </c>
      <c r="B9">
        <v>809.31949999999995</v>
      </c>
      <c r="C9">
        <v>1.682007</v>
      </c>
      <c r="D9">
        <v>1</v>
      </c>
      <c r="E9">
        <v>2.5950199999999999</v>
      </c>
      <c r="F9">
        <v>7.6088180000000003</v>
      </c>
      <c r="G9">
        <v>0.50511589999999995</v>
      </c>
      <c r="H9">
        <v>2.1229930000000001</v>
      </c>
      <c r="I9">
        <v>21.827480000000001</v>
      </c>
      <c r="J9">
        <v>14.12726</v>
      </c>
      <c r="K9">
        <v>0</v>
      </c>
      <c r="L9" t="s">
        <v>12</v>
      </c>
    </row>
    <row r="10" spans="1:12" x14ac:dyDescent="0.3">
      <c r="A10">
        <v>13</v>
      </c>
      <c r="B10">
        <v>812.96190000000001</v>
      </c>
      <c r="C10">
        <v>0.75280760000000002</v>
      </c>
      <c r="D10">
        <v>1</v>
      </c>
      <c r="E10">
        <v>4.2988369999999998</v>
      </c>
      <c r="F10">
        <v>12.956049999999999</v>
      </c>
      <c r="G10">
        <v>0.22639809999999999</v>
      </c>
      <c r="H10">
        <v>0.44400079999999997</v>
      </c>
      <c r="I10">
        <v>7.9632360000000002</v>
      </c>
      <c r="J10">
        <v>3.0428199999999999</v>
      </c>
      <c r="K10">
        <v>0</v>
      </c>
      <c r="L10" t="s">
        <v>13</v>
      </c>
    </row>
    <row r="11" spans="1:12" x14ac:dyDescent="0.3">
      <c r="A11">
        <v>13</v>
      </c>
      <c r="B11">
        <v>818.69899999999996</v>
      </c>
      <c r="C11">
        <v>1.8944700000000001</v>
      </c>
      <c r="D11">
        <v>0.97787469999999999</v>
      </c>
      <c r="E11">
        <v>10.198600000000001</v>
      </c>
      <c r="F11">
        <v>43.020560000000003</v>
      </c>
      <c r="G11">
        <v>0.2224054</v>
      </c>
      <c r="H11">
        <v>2.52752</v>
      </c>
      <c r="I11">
        <v>17.305630000000001</v>
      </c>
      <c r="J11">
        <v>7.6771000000000003</v>
      </c>
      <c r="K11">
        <v>0</v>
      </c>
      <c r="L11" t="s">
        <v>14</v>
      </c>
    </row>
    <row r="12" spans="1:12" x14ac:dyDescent="0.3">
      <c r="A12">
        <v>13</v>
      </c>
      <c r="B12">
        <v>821.93579999999997</v>
      </c>
      <c r="C12">
        <v>0.60552980000000001</v>
      </c>
      <c r="D12">
        <v>0</v>
      </c>
      <c r="E12">
        <v>2.4894630000000002</v>
      </c>
      <c r="F12">
        <v>6.9899579999999997</v>
      </c>
      <c r="G12">
        <v>0.4647908</v>
      </c>
      <c r="H12">
        <v>33.16919</v>
      </c>
      <c r="I12">
        <v>8.5475619999999992</v>
      </c>
      <c r="J12">
        <v>6.9464449999999998</v>
      </c>
      <c r="K12">
        <v>1</v>
      </c>
      <c r="L12" t="s">
        <v>15</v>
      </c>
    </row>
    <row r="13" spans="1:12" x14ac:dyDescent="0.3">
      <c r="A13">
        <v>14</v>
      </c>
      <c r="B13">
        <v>827.4434</v>
      </c>
      <c r="C13">
        <v>2.5895999999999999</v>
      </c>
      <c r="D13">
        <v>0.99360660000000001</v>
      </c>
      <c r="E13">
        <v>1.901081</v>
      </c>
      <c r="F13">
        <v>4.4175959999999996</v>
      </c>
      <c r="G13">
        <v>0.89749900000000005</v>
      </c>
      <c r="H13">
        <v>10.35172</v>
      </c>
      <c r="I13">
        <v>42.603949999999998</v>
      </c>
      <c r="J13">
        <v>32.09825</v>
      </c>
      <c r="K13">
        <v>1</v>
      </c>
      <c r="L13" t="s">
        <v>12</v>
      </c>
    </row>
    <row r="14" spans="1:12" x14ac:dyDescent="0.3">
      <c r="A14">
        <v>15</v>
      </c>
      <c r="B14">
        <v>834.35159999999996</v>
      </c>
      <c r="C14">
        <v>1.842651</v>
      </c>
      <c r="D14">
        <v>1</v>
      </c>
      <c r="E14">
        <v>2.3269660000000001</v>
      </c>
      <c r="F14">
        <v>6.7937810000000001</v>
      </c>
      <c r="G14">
        <v>0.48330919999999999</v>
      </c>
      <c r="H14">
        <v>1.156625</v>
      </c>
      <c r="I14">
        <v>22.605930000000001</v>
      </c>
      <c r="J14">
        <v>12.37486</v>
      </c>
      <c r="K14">
        <v>0</v>
      </c>
      <c r="L14" t="s">
        <v>12</v>
      </c>
    </row>
    <row r="15" spans="1:12" x14ac:dyDescent="0.3">
      <c r="A15">
        <v>15</v>
      </c>
      <c r="B15">
        <v>839.70619999999997</v>
      </c>
      <c r="C15">
        <v>0.35736079999999998</v>
      </c>
      <c r="D15">
        <v>1</v>
      </c>
      <c r="E15">
        <v>8.4760229999999996</v>
      </c>
      <c r="F15">
        <v>20.570679999999999</v>
      </c>
      <c r="G15">
        <v>0.2029772</v>
      </c>
      <c r="H15">
        <v>4.5100930000000004</v>
      </c>
      <c r="I15">
        <v>4.1204390000000002</v>
      </c>
      <c r="J15">
        <v>1.492213</v>
      </c>
      <c r="K15">
        <v>0</v>
      </c>
      <c r="L15" t="s">
        <v>13</v>
      </c>
    </row>
    <row r="16" spans="1:12" x14ac:dyDescent="0.3">
      <c r="A16">
        <v>15</v>
      </c>
      <c r="B16">
        <v>841.76480000000004</v>
      </c>
      <c r="C16">
        <v>1.1080319999999999</v>
      </c>
      <c r="D16">
        <v>1</v>
      </c>
      <c r="E16">
        <v>2.6930320000000001</v>
      </c>
      <c r="F16">
        <v>8.6235769999999992</v>
      </c>
      <c r="G16">
        <v>0.28196890000000002</v>
      </c>
      <c r="H16">
        <v>1.7106760000000001</v>
      </c>
      <c r="I16">
        <v>12.491479999999999</v>
      </c>
      <c r="J16">
        <v>5.430339</v>
      </c>
      <c r="K16">
        <v>0</v>
      </c>
      <c r="L16" t="s">
        <v>14</v>
      </c>
    </row>
    <row r="17" spans="1:12" x14ac:dyDescent="0.3">
      <c r="A17">
        <v>15</v>
      </c>
      <c r="B17">
        <v>845.70339999999999</v>
      </c>
      <c r="C17">
        <v>1.0791630000000001</v>
      </c>
      <c r="D17">
        <v>1</v>
      </c>
      <c r="E17">
        <v>3.6288119999999999</v>
      </c>
      <c r="F17">
        <v>9.8617229999999996</v>
      </c>
      <c r="G17">
        <v>0.320019</v>
      </c>
      <c r="H17">
        <v>2.1310009999999999</v>
      </c>
      <c r="I17">
        <v>12.142989999999999</v>
      </c>
      <c r="J17">
        <v>5.4080769999999996</v>
      </c>
      <c r="K17">
        <v>0</v>
      </c>
      <c r="L17" t="s">
        <v>15</v>
      </c>
    </row>
    <row r="18" spans="1:12" x14ac:dyDescent="0.3">
      <c r="A18">
        <v>15</v>
      </c>
      <c r="B18">
        <v>849.26499999999999</v>
      </c>
      <c r="C18">
        <v>1.672852</v>
      </c>
      <c r="D18">
        <v>1</v>
      </c>
      <c r="E18">
        <v>5.047561</v>
      </c>
      <c r="F18">
        <v>13.09313</v>
      </c>
      <c r="G18">
        <v>0.35759380000000002</v>
      </c>
      <c r="H18">
        <v>0.35662240000000001</v>
      </c>
      <c r="I18">
        <v>18.504580000000001</v>
      </c>
      <c r="J18">
        <v>7.5030549999999998</v>
      </c>
      <c r="K18">
        <v>0</v>
      </c>
      <c r="L18" t="s">
        <v>16</v>
      </c>
    </row>
    <row r="19" spans="1:12" x14ac:dyDescent="0.3">
      <c r="A19">
        <v>15</v>
      </c>
      <c r="B19">
        <v>853.95939999999996</v>
      </c>
      <c r="C19">
        <v>1.6159669999999999</v>
      </c>
      <c r="D19">
        <v>1</v>
      </c>
      <c r="E19">
        <v>2.9600810000000002</v>
      </c>
      <c r="F19">
        <v>8.0281509999999994</v>
      </c>
      <c r="G19">
        <v>0.50400409999999995</v>
      </c>
      <c r="H19">
        <v>1.0671569999999999</v>
      </c>
      <c r="I19">
        <v>20.279199999999999</v>
      </c>
      <c r="J19">
        <v>11.406079999999999</v>
      </c>
      <c r="K19">
        <v>0</v>
      </c>
      <c r="L19" t="s">
        <v>17</v>
      </c>
    </row>
    <row r="20" spans="1:12" x14ac:dyDescent="0.3">
      <c r="A20">
        <v>15</v>
      </c>
      <c r="B20">
        <v>858.62950000000001</v>
      </c>
      <c r="C20">
        <v>0.92895510000000003</v>
      </c>
      <c r="D20">
        <v>1</v>
      </c>
      <c r="E20">
        <v>4.421316</v>
      </c>
      <c r="F20">
        <v>14.88592</v>
      </c>
      <c r="G20">
        <v>0.19983909999999999</v>
      </c>
      <c r="H20">
        <v>3.135602</v>
      </c>
      <c r="I20">
        <v>9.8014390000000002</v>
      </c>
      <c r="J20">
        <v>3.0376940000000001</v>
      </c>
      <c r="K20">
        <v>0</v>
      </c>
      <c r="L20" t="s">
        <v>18</v>
      </c>
    </row>
    <row r="21" spans="1:12" x14ac:dyDescent="0.3">
      <c r="A21">
        <v>15</v>
      </c>
      <c r="B21">
        <v>863.19330000000002</v>
      </c>
      <c r="C21">
        <v>2.2529910000000002</v>
      </c>
      <c r="D21">
        <v>0.94092540000000002</v>
      </c>
      <c r="E21">
        <v>4.5118749999999999</v>
      </c>
      <c r="F21">
        <v>6.095294</v>
      </c>
      <c r="G21">
        <v>1.055987</v>
      </c>
      <c r="H21">
        <v>12.74122</v>
      </c>
      <c r="I21">
        <v>29.608910000000002</v>
      </c>
      <c r="J21">
        <v>18.477730000000001</v>
      </c>
      <c r="K21">
        <v>0</v>
      </c>
      <c r="L21" t="s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6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7</v>
      </c>
      <c r="B2">
        <v>446.18189999999998</v>
      </c>
      <c r="C2">
        <v>1.8057559999999999</v>
      </c>
      <c r="D2">
        <v>1</v>
      </c>
      <c r="E2">
        <v>1.387448</v>
      </c>
      <c r="F2">
        <v>5.6108849999999997</v>
      </c>
      <c r="G2">
        <v>0.45141619999999999</v>
      </c>
      <c r="H2">
        <v>9.5511180000000007</v>
      </c>
      <c r="I2">
        <v>29.920629999999999</v>
      </c>
      <c r="J2">
        <v>22.769259999999999</v>
      </c>
      <c r="K2">
        <v>1</v>
      </c>
      <c r="L2" t="s">
        <v>12</v>
      </c>
    </row>
    <row r="3" spans="1:12" x14ac:dyDescent="0.3">
      <c r="A3">
        <v>8</v>
      </c>
      <c r="B3">
        <v>455.98250000000002</v>
      </c>
      <c r="C3">
        <v>1.4682919999999999</v>
      </c>
      <c r="D3">
        <v>1</v>
      </c>
      <c r="E3">
        <v>1.9471830000000001</v>
      </c>
      <c r="F3">
        <v>12.03487</v>
      </c>
      <c r="G3">
        <v>0.16048770000000001</v>
      </c>
      <c r="H3">
        <v>0.97098370000000001</v>
      </c>
      <c r="I3">
        <v>15.208740000000001</v>
      </c>
      <c r="J3">
        <v>3.1460400000000002</v>
      </c>
      <c r="K3">
        <v>0</v>
      </c>
      <c r="L3" t="s">
        <v>12</v>
      </c>
    </row>
    <row r="4" spans="1:12" x14ac:dyDescent="0.3">
      <c r="A4">
        <v>8</v>
      </c>
      <c r="B4">
        <v>461.9864</v>
      </c>
      <c r="C4">
        <v>1.1067499999999999</v>
      </c>
      <c r="D4">
        <v>1</v>
      </c>
      <c r="E4">
        <v>1.8973679999999999</v>
      </c>
      <c r="F4">
        <v>11.39892</v>
      </c>
      <c r="G4">
        <v>0.1802638</v>
      </c>
      <c r="H4">
        <v>4.5097529999999999</v>
      </c>
      <c r="I4">
        <v>11.98452</v>
      </c>
      <c r="J4">
        <v>4.0356339999999999</v>
      </c>
      <c r="K4">
        <v>0</v>
      </c>
      <c r="L4" t="s">
        <v>13</v>
      </c>
    </row>
    <row r="5" spans="1:12" x14ac:dyDescent="0.3">
      <c r="A5">
        <v>8</v>
      </c>
      <c r="B5">
        <v>468.84199999999998</v>
      </c>
      <c r="C5">
        <v>1.616608</v>
      </c>
      <c r="D5">
        <v>1</v>
      </c>
      <c r="E5">
        <v>2.6654819999999999</v>
      </c>
      <c r="F5">
        <v>16.77674</v>
      </c>
      <c r="G5">
        <v>0.18577969999999999</v>
      </c>
      <c r="H5">
        <v>0.47090100000000001</v>
      </c>
      <c r="I5">
        <v>17.000129999999999</v>
      </c>
      <c r="J5">
        <v>4.8936380000000002</v>
      </c>
      <c r="K5">
        <v>0</v>
      </c>
      <c r="L5" t="s">
        <v>14</v>
      </c>
    </row>
    <row r="6" spans="1:12" x14ac:dyDescent="0.3">
      <c r="A6">
        <v>8</v>
      </c>
      <c r="B6">
        <v>473.46980000000002</v>
      </c>
      <c r="C6">
        <v>1.5514829999999999</v>
      </c>
      <c r="D6">
        <v>1</v>
      </c>
      <c r="E6">
        <v>2.8726950000000002</v>
      </c>
      <c r="F6">
        <v>14.830069999999999</v>
      </c>
      <c r="G6">
        <v>0.20399120000000001</v>
      </c>
      <c r="H6">
        <v>3.5067460000000001</v>
      </c>
      <c r="I6">
        <v>16.465129999999998</v>
      </c>
      <c r="J6">
        <v>3.695255</v>
      </c>
      <c r="K6">
        <v>0</v>
      </c>
      <c r="L6" t="s">
        <v>15</v>
      </c>
    </row>
    <row r="7" spans="1:12" x14ac:dyDescent="0.3">
      <c r="A7">
        <v>8</v>
      </c>
      <c r="B7">
        <v>476.12299999999999</v>
      </c>
      <c r="C7">
        <v>0.23376459999999999</v>
      </c>
      <c r="D7">
        <v>0</v>
      </c>
      <c r="E7">
        <v>0.87925640000000005</v>
      </c>
      <c r="F7">
        <v>2.3001269999999998</v>
      </c>
      <c r="G7">
        <v>0.41413309999999998</v>
      </c>
      <c r="H7">
        <v>24.411069999999999</v>
      </c>
      <c r="I7">
        <v>4.969436</v>
      </c>
      <c r="J7">
        <v>4.7028119999999998</v>
      </c>
      <c r="K7">
        <v>1</v>
      </c>
      <c r="L7" t="s">
        <v>16</v>
      </c>
    </row>
    <row r="8" spans="1:12" x14ac:dyDescent="0.3">
      <c r="A8">
        <v>9</v>
      </c>
      <c r="B8">
        <v>482.76319999999998</v>
      </c>
      <c r="C8">
        <v>1.3918459999999999</v>
      </c>
      <c r="D8">
        <v>1</v>
      </c>
      <c r="E8">
        <v>2.0837180000000002</v>
      </c>
      <c r="F8">
        <v>13.607530000000001</v>
      </c>
      <c r="G8">
        <v>0.12824740000000001</v>
      </c>
      <c r="H8">
        <v>3.0810909999999998</v>
      </c>
      <c r="I8">
        <v>14.08794</v>
      </c>
      <c r="J8">
        <v>2.0676139999999998</v>
      </c>
      <c r="K8">
        <v>0</v>
      </c>
      <c r="L8" t="s">
        <v>12</v>
      </c>
    </row>
    <row r="9" spans="1:12" x14ac:dyDescent="0.3">
      <c r="A9">
        <v>9</v>
      </c>
      <c r="B9">
        <v>487.11219999999997</v>
      </c>
      <c r="C9">
        <v>1.5122679999999999</v>
      </c>
      <c r="D9">
        <v>1</v>
      </c>
      <c r="E9">
        <v>2.069347</v>
      </c>
      <c r="F9">
        <v>13.27041</v>
      </c>
      <c r="G9">
        <v>0.1462907</v>
      </c>
      <c r="H9">
        <v>1.567855</v>
      </c>
      <c r="I9">
        <v>15.437749999999999</v>
      </c>
      <c r="J9">
        <v>2.4026190000000001</v>
      </c>
      <c r="K9">
        <v>0</v>
      </c>
      <c r="L9" t="s">
        <v>13</v>
      </c>
    </row>
    <row r="10" spans="1:12" x14ac:dyDescent="0.3">
      <c r="A10">
        <v>9</v>
      </c>
      <c r="B10">
        <v>490.83769999999998</v>
      </c>
      <c r="C10">
        <v>1.643921</v>
      </c>
      <c r="D10">
        <v>1</v>
      </c>
      <c r="E10">
        <v>2.0257329999999998</v>
      </c>
      <c r="F10">
        <v>8.6798190000000002</v>
      </c>
      <c r="G10">
        <v>0.37273240000000002</v>
      </c>
      <c r="H10">
        <v>9.4168310000000002</v>
      </c>
      <c r="I10">
        <v>23.338429999999999</v>
      </c>
      <c r="J10">
        <v>13.10295</v>
      </c>
      <c r="K10">
        <v>1</v>
      </c>
      <c r="L10" t="s">
        <v>14</v>
      </c>
    </row>
    <row r="11" spans="1:12" x14ac:dyDescent="0.3">
      <c r="A11">
        <v>10</v>
      </c>
      <c r="B11">
        <v>499.14710000000002</v>
      </c>
      <c r="C11">
        <v>1.398285</v>
      </c>
      <c r="D11">
        <v>1</v>
      </c>
      <c r="E11">
        <v>2.2119279999999999</v>
      </c>
      <c r="F11">
        <v>13.62982</v>
      </c>
      <c r="G11">
        <v>0.14230809999999999</v>
      </c>
      <c r="H11">
        <v>3.1750530000000001</v>
      </c>
      <c r="I11">
        <v>14.93031</v>
      </c>
      <c r="J11">
        <v>4.616047</v>
      </c>
      <c r="K11">
        <v>0</v>
      </c>
      <c r="L11" t="s">
        <v>12</v>
      </c>
    </row>
    <row r="12" spans="1:12" x14ac:dyDescent="0.3">
      <c r="A12">
        <v>10</v>
      </c>
      <c r="B12">
        <v>503.53269999999998</v>
      </c>
      <c r="C12">
        <v>1.2601009999999999</v>
      </c>
      <c r="D12">
        <v>1</v>
      </c>
      <c r="E12">
        <v>2.2934009999999998</v>
      </c>
      <c r="F12">
        <v>12.701639999999999</v>
      </c>
      <c r="G12">
        <v>0.1870887</v>
      </c>
      <c r="H12">
        <v>3.3905020000000001</v>
      </c>
      <c r="I12">
        <v>13.722519999999999</v>
      </c>
      <c r="J12">
        <v>4.296481</v>
      </c>
      <c r="K12">
        <v>0</v>
      </c>
      <c r="L12" t="s">
        <v>13</v>
      </c>
    </row>
    <row r="13" spans="1:12" x14ac:dyDescent="0.3">
      <c r="A13">
        <v>10</v>
      </c>
      <c r="B13">
        <v>506.81299999999999</v>
      </c>
      <c r="C13">
        <v>1.7771300000000001</v>
      </c>
      <c r="D13">
        <v>1</v>
      </c>
      <c r="E13">
        <v>1.763226</v>
      </c>
      <c r="F13">
        <v>7.889113</v>
      </c>
      <c r="G13">
        <v>0.36598039999999998</v>
      </c>
      <c r="H13">
        <v>9.9982150000000001</v>
      </c>
      <c r="I13">
        <v>25.25563</v>
      </c>
      <c r="J13">
        <v>13.933529999999999</v>
      </c>
      <c r="K13">
        <v>1</v>
      </c>
      <c r="L13" t="s">
        <v>14</v>
      </c>
    </row>
    <row r="14" spans="1:12" x14ac:dyDescent="0.3">
      <c r="A14">
        <v>11</v>
      </c>
      <c r="B14">
        <v>513.6857</v>
      </c>
      <c r="C14">
        <v>2.8229980000000001</v>
      </c>
      <c r="D14">
        <v>0.97936670000000003</v>
      </c>
      <c r="E14">
        <v>3.6393230000000001</v>
      </c>
      <c r="F14">
        <v>22.812539999999998</v>
      </c>
      <c r="G14">
        <v>0.28828880000000001</v>
      </c>
      <c r="H14">
        <v>12.05635</v>
      </c>
      <c r="I14">
        <v>30.311019999999999</v>
      </c>
      <c r="J14">
        <v>16.370729999999998</v>
      </c>
      <c r="K14">
        <v>1</v>
      </c>
      <c r="L14" t="s">
        <v>12</v>
      </c>
    </row>
    <row r="15" spans="1:12" x14ac:dyDescent="0.3">
      <c r="A15">
        <v>12</v>
      </c>
      <c r="B15">
        <v>524.43209999999999</v>
      </c>
      <c r="C15">
        <v>1.2499389999999999</v>
      </c>
      <c r="D15">
        <v>1</v>
      </c>
      <c r="E15">
        <v>1.711849</v>
      </c>
      <c r="F15">
        <v>9.1351390000000006</v>
      </c>
      <c r="G15">
        <v>0.22832549999999999</v>
      </c>
      <c r="H15">
        <v>2.6459830000000002</v>
      </c>
      <c r="I15">
        <v>15.36612</v>
      </c>
      <c r="J15">
        <v>8.3075910000000004</v>
      </c>
      <c r="K15">
        <v>0</v>
      </c>
      <c r="L15" t="s">
        <v>12</v>
      </c>
    </row>
    <row r="16" spans="1:12" x14ac:dyDescent="0.3">
      <c r="A16">
        <v>12</v>
      </c>
      <c r="B16">
        <v>528.76790000000005</v>
      </c>
      <c r="C16">
        <v>1.5043949999999999</v>
      </c>
      <c r="D16">
        <v>1</v>
      </c>
      <c r="E16">
        <v>2.8441380000000001</v>
      </c>
      <c r="F16">
        <v>13.19651</v>
      </c>
      <c r="G16">
        <v>0.19431670000000001</v>
      </c>
      <c r="H16">
        <v>0.75623070000000003</v>
      </c>
      <c r="I16">
        <v>16.81071</v>
      </c>
      <c r="J16">
        <v>6.3067089999999997</v>
      </c>
      <c r="K16">
        <v>0</v>
      </c>
      <c r="L16" t="s">
        <v>13</v>
      </c>
    </row>
    <row r="17" spans="1:12" x14ac:dyDescent="0.3">
      <c r="A17">
        <v>12</v>
      </c>
      <c r="B17">
        <v>537.67690000000005</v>
      </c>
      <c r="C17">
        <v>2.1623540000000001</v>
      </c>
      <c r="D17">
        <v>1</v>
      </c>
      <c r="E17">
        <v>1.95987</v>
      </c>
      <c r="F17">
        <v>9.6574919999999995</v>
      </c>
      <c r="G17">
        <v>0.3511224</v>
      </c>
      <c r="H17">
        <v>10.764239999999999</v>
      </c>
      <c r="I17">
        <v>28.817170000000001</v>
      </c>
      <c r="J17">
        <v>15.084809999999999</v>
      </c>
      <c r="K17">
        <v>1</v>
      </c>
      <c r="L17" t="s">
        <v>14</v>
      </c>
    </row>
    <row r="18" spans="1:12" x14ac:dyDescent="0.3">
      <c r="A18">
        <v>13</v>
      </c>
      <c r="B18">
        <v>545.99540000000002</v>
      </c>
      <c r="C18">
        <v>1.5747679999999999</v>
      </c>
      <c r="D18">
        <v>1</v>
      </c>
      <c r="E18">
        <v>1.5173399999999999</v>
      </c>
      <c r="F18">
        <v>7.8651939999999998</v>
      </c>
      <c r="G18">
        <v>0.2696518</v>
      </c>
      <c r="H18">
        <v>3.7425549999999999</v>
      </c>
      <c r="I18">
        <v>20.063500000000001</v>
      </c>
      <c r="J18">
        <v>11.52261</v>
      </c>
      <c r="K18">
        <v>0</v>
      </c>
      <c r="L18" t="s">
        <v>12</v>
      </c>
    </row>
    <row r="19" spans="1:12" x14ac:dyDescent="0.3">
      <c r="A19">
        <v>14</v>
      </c>
      <c r="B19">
        <v>554.63729999999998</v>
      </c>
      <c r="C19">
        <v>1.684509</v>
      </c>
      <c r="D19">
        <v>1</v>
      </c>
      <c r="E19">
        <v>1.6290020000000001</v>
      </c>
      <c r="F19">
        <v>8.6438520000000008</v>
      </c>
      <c r="G19">
        <v>0.2427165</v>
      </c>
      <c r="H19">
        <v>2.339267</v>
      </c>
      <c r="I19">
        <v>20.541899999999998</v>
      </c>
      <c r="J19">
        <v>11.275600000000001</v>
      </c>
      <c r="K19">
        <v>0</v>
      </c>
      <c r="L19" t="s">
        <v>12</v>
      </c>
    </row>
    <row r="20" spans="1:12" x14ac:dyDescent="0.3">
      <c r="A20">
        <v>14</v>
      </c>
      <c r="B20">
        <v>560.34270000000004</v>
      </c>
      <c r="C20">
        <v>1.2541500000000001</v>
      </c>
      <c r="D20">
        <v>1</v>
      </c>
      <c r="E20">
        <v>2.4170150000000001</v>
      </c>
      <c r="F20">
        <v>13.01995</v>
      </c>
      <c r="G20">
        <v>0.1673385</v>
      </c>
      <c r="H20">
        <v>0.4873497</v>
      </c>
      <c r="I20">
        <v>13.36603</v>
      </c>
      <c r="J20">
        <v>4.1492500000000003</v>
      </c>
      <c r="K20">
        <v>0</v>
      </c>
      <c r="L20" t="s">
        <v>13</v>
      </c>
    </row>
    <row r="21" spans="1:12" x14ac:dyDescent="0.3">
      <c r="A21">
        <v>14</v>
      </c>
      <c r="B21">
        <v>566.46230000000003</v>
      </c>
      <c r="C21">
        <v>1.2263790000000001</v>
      </c>
      <c r="D21">
        <v>1</v>
      </c>
      <c r="E21">
        <v>2.3658800000000002</v>
      </c>
      <c r="F21">
        <v>13.05214</v>
      </c>
      <c r="G21">
        <v>0.1606369</v>
      </c>
      <c r="H21">
        <v>2.8054570000000001</v>
      </c>
      <c r="I21">
        <v>13.77604</v>
      </c>
      <c r="J21">
        <v>5.2963019999999998</v>
      </c>
      <c r="K21">
        <v>0</v>
      </c>
      <c r="L21" t="s">
        <v>14</v>
      </c>
    </row>
    <row r="22" spans="1:12" x14ac:dyDescent="0.3">
      <c r="A22">
        <v>14</v>
      </c>
      <c r="B22">
        <v>572.31370000000004</v>
      </c>
      <c r="C22">
        <v>2.1318359999999998</v>
      </c>
      <c r="D22">
        <v>1</v>
      </c>
      <c r="E22">
        <v>2.2754919999999998</v>
      </c>
      <c r="F22">
        <v>12.223750000000001</v>
      </c>
      <c r="G22">
        <v>0.2170927</v>
      </c>
      <c r="H22">
        <v>3.5564719999999999</v>
      </c>
      <c r="I22">
        <v>22.524560000000001</v>
      </c>
      <c r="J22">
        <v>5.5231209999999997</v>
      </c>
      <c r="K22">
        <v>0</v>
      </c>
      <c r="L22" t="s">
        <v>15</v>
      </c>
    </row>
    <row r="23" spans="1:12" x14ac:dyDescent="0.3">
      <c r="A23">
        <v>15</v>
      </c>
      <c r="B23">
        <v>582.43259999999998</v>
      </c>
      <c r="C23">
        <v>1.3267819999999999</v>
      </c>
      <c r="D23">
        <v>1</v>
      </c>
      <c r="E23">
        <v>1.5049920000000001</v>
      </c>
      <c r="F23">
        <v>8.6885300000000001</v>
      </c>
      <c r="G23">
        <v>0.1568331</v>
      </c>
      <c r="H23">
        <v>0.90804859999999998</v>
      </c>
      <c r="I23">
        <v>14.2037</v>
      </c>
      <c r="J23">
        <v>4.8568959999999999</v>
      </c>
      <c r="K23">
        <v>0</v>
      </c>
      <c r="L23" t="s">
        <v>12</v>
      </c>
    </row>
    <row r="24" spans="1:12" x14ac:dyDescent="0.3">
      <c r="A24">
        <v>15</v>
      </c>
      <c r="B24">
        <v>586.47339999999997</v>
      </c>
      <c r="C24">
        <v>1.210205</v>
      </c>
      <c r="D24">
        <v>1</v>
      </c>
      <c r="E24">
        <v>2.4806330000000001</v>
      </c>
      <c r="F24">
        <v>13.669840000000001</v>
      </c>
      <c r="G24">
        <v>0.16414100000000001</v>
      </c>
      <c r="H24">
        <v>2.021385</v>
      </c>
      <c r="I24">
        <v>12.70274</v>
      </c>
      <c r="J24">
        <v>3.437891</v>
      </c>
      <c r="K24">
        <v>0</v>
      </c>
      <c r="L24" t="s">
        <v>13</v>
      </c>
    </row>
    <row r="25" spans="1:12" x14ac:dyDescent="0.3">
      <c r="A25">
        <v>15</v>
      </c>
      <c r="B25">
        <v>590.05740000000003</v>
      </c>
      <c r="C25">
        <v>1.969055</v>
      </c>
      <c r="D25">
        <v>1</v>
      </c>
      <c r="E25">
        <v>2.0329250000000001</v>
      </c>
      <c r="F25">
        <v>10.22228</v>
      </c>
      <c r="G25">
        <v>0.32668140000000001</v>
      </c>
      <c r="H25">
        <v>9.7616800000000001</v>
      </c>
      <c r="I25">
        <v>25.654489999999999</v>
      </c>
      <c r="J25">
        <v>14.35895</v>
      </c>
      <c r="K25">
        <v>1</v>
      </c>
      <c r="L25" t="s">
        <v>14</v>
      </c>
    </row>
    <row r="26" spans="1:12" x14ac:dyDescent="0.3">
      <c r="A26">
        <v>17</v>
      </c>
      <c r="B26">
        <v>604.99800000000005</v>
      </c>
      <c r="C26">
        <v>1.5234989999999999</v>
      </c>
      <c r="D26">
        <v>1</v>
      </c>
      <c r="E26">
        <v>1.849758</v>
      </c>
      <c r="F26">
        <v>11.719139999999999</v>
      </c>
      <c r="G26">
        <v>0.15541659999999999</v>
      </c>
      <c r="H26">
        <v>1.652501</v>
      </c>
      <c r="I26">
        <v>15.626239999999999</v>
      </c>
      <c r="J26">
        <v>3.040346</v>
      </c>
      <c r="K26">
        <v>0</v>
      </c>
      <c r="L26" t="s">
        <v>12</v>
      </c>
    </row>
    <row r="27" spans="1:12" x14ac:dyDescent="0.3">
      <c r="A27">
        <v>17</v>
      </c>
      <c r="B27">
        <v>610.76350000000002</v>
      </c>
      <c r="C27">
        <v>1.2956540000000001</v>
      </c>
      <c r="D27">
        <v>1</v>
      </c>
      <c r="E27">
        <v>2.2732809999999999</v>
      </c>
      <c r="F27">
        <v>13.17745</v>
      </c>
      <c r="G27">
        <v>0.1423143</v>
      </c>
      <c r="H27">
        <v>3.1339440000000001</v>
      </c>
      <c r="I27">
        <v>13.110989999999999</v>
      </c>
      <c r="J27">
        <v>1.8373699999999999</v>
      </c>
      <c r="K27">
        <v>0</v>
      </c>
      <c r="L27" t="s">
        <v>13</v>
      </c>
    </row>
    <row r="28" spans="1:12" x14ac:dyDescent="0.3">
      <c r="A28">
        <v>17</v>
      </c>
      <c r="B28">
        <v>616.06259999999997</v>
      </c>
      <c r="C28">
        <v>4.3270869999999997</v>
      </c>
      <c r="D28">
        <v>0.70423610000000003</v>
      </c>
      <c r="E28">
        <v>2.8196319999999999</v>
      </c>
      <c r="F28">
        <v>16.071919999999999</v>
      </c>
      <c r="G28">
        <v>0.32510159999999999</v>
      </c>
      <c r="H28">
        <v>10.445309999999999</v>
      </c>
      <c r="I28">
        <v>49.649070000000002</v>
      </c>
      <c r="J28">
        <v>22.380590000000002</v>
      </c>
      <c r="K28">
        <v>1</v>
      </c>
      <c r="L28" t="s">
        <v>14</v>
      </c>
    </row>
    <row r="29" spans="1:12" x14ac:dyDescent="0.3">
      <c r="A29">
        <v>18</v>
      </c>
      <c r="B29">
        <v>626.33029999999997</v>
      </c>
      <c r="C29">
        <v>1.541382</v>
      </c>
      <c r="D29">
        <v>1</v>
      </c>
      <c r="E29">
        <v>2.2442920000000002</v>
      </c>
      <c r="F29">
        <v>14.022040000000001</v>
      </c>
      <c r="G29">
        <v>0.1169757</v>
      </c>
      <c r="H29">
        <v>2.2157460000000002</v>
      </c>
      <c r="I29">
        <v>15.68535</v>
      </c>
      <c r="J29">
        <v>3.0238800000000001</v>
      </c>
      <c r="K29">
        <v>0</v>
      </c>
      <c r="L29" t="s">
        <v>12</v>
      </c>
    </row>
    <row r="30" spans="1:12" x14ac:dyDescent="0.3">
      <c r="A30">
        <v>18</v>
      </c>
      <c r="B30">
        <v>632.01400000000001</v>
      </c>
      <c r="C30">
        <v>1.644714</v>
      </c>
      <c r="D30">
        <v>1</v>
      </c>
      <c r="E30">
        <v>2.7000169999999999</v>
      </c>
      <c r="F30">
        <v>14.546469999999999</v>
      </c>
      <c r="G30">
        <v>0.1713509</v>
      </c>
      <c r="H30">
        <v>1.5835520000000001</v>
      </c>
      <c r="I30">
        <v>16.705190000000002</v>
      </c>
      <c r="J30">
        <v>2.5604480000000001</v>
      </c>
      <c r="K30">
        <v>0</v>
      </c>
      <c r="L30" t="s">
        <v>13</v>
      </c>
    </row>
    <row r="31" spans="1:12" x14ac:dyDescent="0.3">
      <c r="A31">
        <v>18</v>
      </c>
      <c r="B31">
        <v>636.86040000000003</v>
      </c>
      <c r="C31">
        <v>1.5809329999999999</v>
      </c>
      <c r="D31">
        <v>1</v>
      </c>
      <c r="E31">
        <v>2.3104360000000002</v>
      </c>
      <c r="F31">
        <v>13.83122</v>
      </c>
      <c r="G31">
        <v>0.20180380000000001</v>
      </c>
      <c r="H31">
        <v>2.0615009999999998</v>
      </c>
      <c r="I31">
        <v>16.537459999999999</v>
      </c>
      <c r="J31">
        <v>3.726391</v>
      </c>
      <c r="K31">
        <v>0</v>
      </c>
      <c r="L31" t="s">
        <v>14</v>
      </c>
    </row>
    <row r="32" spans="1:12" x14ac:dyDescent="0.3">
      <c r="A32">
        <v>18</v>
      </c>
      <c r="B32">
        <v>647.00850000000003</v>
      </c>
      <c r="C32">
        <v>1.828918</v>
      </c>
      <c r="D32">
        <v>1</v>
      </c>
      <c r="E32">
        <v>2.5358890000000001</v>
      </c>
      <c r="F32">
        <v>13.57549</v>
      </c>
      <c r="G32">
        <v>0.1871225</v>
      </c>
      <c r="H32">
        <v>0.63746650000000005</v>
      </c>
      <c r="I32">
        <v>19.240310000000001</v>
      </c>
      <c r="J32">
        <v>3.9944289999999998</v>
      </c>
      <c r="K32">
        <v>0</v>
      </c>
      <c r="L32" t="s">
        <v>15</v>
      </c>
    </row>
    <row r="33" spans="1:12" x14ac:dyDescent="0.3">
      <c r="A33">
        <v>18</v>
      </c>
      <c r="B33">
        <v>653.30970000000002</v>
      </c>
      <c r="C33">
        <v>1.713562</v>
      </c>
      <c r="D33">
        <v>1</v>
      </c>
      <c r="E33">
        <v>2.9950230000000002</v>
      </c>
      <c r="F33">
        <v>15.97992</v>
      </c>
      <c r="G33">
        <v>0.15669169999999999</v>
      </c>
      <c r="H33">
        <v>1.8889499999999999</v>
      </c>
      <c r="I33">
        <v>17.61787</v>
      </c>
      <c r="J33">
        <v>3.128444</v>
      </c>
      <c r="K33">
        <v>0</v>
      </c>
      <c r="L33" t="s">
        <v>16</v>
      </c>
    </row>
    <row r="34" spans="1:12" x14ac:dyDescent="0.3">
      <c r="A34">
        <v>18</v>
      </c>
      <c r="B34">
        <v>658.82929999999999</v>
      </c>
      <c r="C34">
        <v>2.1297000000000001</v>
      </c>
      <c r="D34">
        <v>1</v>
      </c>
      <c r="E34">
        <v>2.7088239999999999</v>
      </c>
      <c r="F34">
        <v>14.64982</v>
      </c>
      <c r="G34">
        <v>0.20436029999999999</v>
      </c>
      <c r="H34">
        <v>2.7792460000000001</v>
      </c>
      <c r="I34">
        <v>22.003679999999999</v>
      </c>
      <c r="J34">
        <v>3.6375280000000001</v>
      </c>
      <c r="K34">
        <v>0</v>
      </c>
      <c r="L34" t="s">
        <v>17</v>
      </c>
    </row>
    <row r="35" spans="1:12" x14ac:dyDescent="0.3">
      <c r="A35">
        <v>18</v>
      </c>
      <c r="B35">
        <v>666.02840000000003</v>
      </c>
      <c r="C35">
        <v>1.8878170000000001</v>
      </c>
      <c r="D35">
        <v>1</v>
      </c>
      <c r="E35">
        <v>2.6364350000000001</v>
      </c>
      <c r="F35">
        <v>16.47017</v>
      </c>
      <c r="G35">
        <v>0.1429019</v>
      </c>
      <c r="H35">
        <v>0.9241682</v>
      </c>
      <c r="I35">
        <v>19.368880000000001</v>
      </c>
      <c r="J35">
        <v>2.9919129999999998</v>
      </c>
      <c r="K35">
        <v>0</v>
      </c>
      <c r="L35" t="s">
        <v>18</v>
      </c>
    </row>
    <row r="36" spans="1:12" x14ac:dyDescent="0.3">
      <c r="A36">
        <v>18</v>
      </c>
      <c r="B36">
        <v>672.71870000000001</v>
      </c>
      <c r="C36">
        <v>2.2107540000000001</v>
      </c>
      <c r="D36">
        <v>0.80032590000000003</v>
      </c>
      <c r="E36">
        <v>2.0096769999999999</v>
      </c>
      <c r="F36">
        <v>6.5181449999999996</v>
      </c>
      <c r="G36">
        <v>0.50870760000000004</v>
      </c>
      <c r="H36">
        <v>7.6137300000000003</v>
      </c>
      <c r="I36">
        <v>30.832039999999999</v>
      </c>
      <c r="J36">
        <v>22.000450000000001</v>
      </c>
      <c r="K36">
        <v>0</v>
      </c>
      <c r="L36" t="s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2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10</v>
      </c>
      <c r="B2">
        <v>392.21159999999998</v>
      </c>
      <c r="C2">
        <v>0.41690060000000001</v>
      </c>
      <c r="D2">
        <v>1</v>
      </c>
      <c r="E2">
        <v>2.0083690000000001</v>
      </c>
      <c r="F2">
        <v>11.46387</v>
      </c>
      <c r="G2">
        <v>7.8542689999999998E-2</v>
      </c>
      <c r="H2">
        <v>2.1232890000000002</v>
      </c>
      <c r="I2">
        <v>4.2045890000000004</v>
      </c>
      <c r="J2">
        <v>1.13096</v>
      </c>
      <c r="K2">
        <v>0</v>
      </c>
      <c r="L2" t="s">
        <v>12</v>
      </c>
    </row>
    <row r="3" spans="1:12" x14ac:dyDescent="0.3">
      <c r="A3">
        <v>10</v>
      </c>
      <c r="B3">
        <v>394.58100000000002</v>
      </c>
      <c r="C3">
        <v>0.77001949999999997</v>
      </c>
      <c r="D3">
        <v>1</v>
      </c>
      <c r="E3">
        <v>2.3477459999999999</v>
      </c>
      <c r="F3">
        <v>10.411049999999999</v>
      </c>
      <c r="G3">
        <v>0.27606809999999998</v>
      </c>
      <c r="H3">
        <v>5.6548429999999996</v>
      </c>
      <c r="I3">
        <v>9.2457139999999995</v>
      </c>
      <c r="J3">
        <v>4.7246790000000001</v>
      </c>
      <c r="K3">
        <v>0</v>
      </c>
      <c r="L3" t="s">
        <v>13</v>
      </c>
    </row>
    <row r="4" spans="1:12" x14ac:dyDescent="0.3">
      <c r="A4">
        <v>10</v>
      </c>
      <c r="B4">
        <v>396.51780000000002</v>
      </c>
      <c r="C4">
        <v>0.1803284</v>
      </c>
      <c r="D4">
        <v>0</v>
      </c>
      <c r="E4">
        <v>1.581979</v>
      </c>
      <c r="F4">
        <v>5.1165520000000004</v>
      </c>
      <c r="G4">
        <v>0.21499370000000001</v>
      </c>
      <c r="H4">
        <v>11.3279</v>
      </c>
      <c r="I4">
        <v>3.091885</v>
      </c>
      <c r="J4">
        <v>3.0612759999999999</v>
      </c>
      <c r="K4">
        <v>1</v>
      </c>
      <c r="L4" t="s">
        <v>13</v>
      </c>
    </row>
    <row r="5" spans="1:12" x14ac:dyDescent="0.3">
      <c r="A5">
        <v>11</v>
      </c>
      <c r="B5">
        <v>402.14139999999998</v>
      </c>
      <c r="C5">
        <v>0.83395390000000003</v>
      </c>
      <c r="D5">
        <v>1</v>
      </c>
      <c r="E5">
        <v>2.1519550000000001</v>
      </c>
      <c r="F5">
        <v>11.04002</v>
      </c>
      <c r="G5">
        <v>0.1218245</v>
      </c>
      <c r="H5">
        <v>1.4301839999999999</v>
      </c>
      <c r="I5">
        <v>9.7461529999999996</v>
      </c>
      <c r="J5">
        <v>3.2729029999999999</v>
      </c>
      <c r="K5">
        <v>0</v>
      </c>
      <c r="L5" t="s">
        <v>12</v>
      </c>
    </row>
    <row r="6" spans="1:12" x14ac:dyDescent="0.3">
      <c r="A6">
        <v>11</v>
      </c>
      <c r="B6">
        <v>406.20030000000003</v>
      </c>
      <c r="C6">
        <v>0.7023315</v>
      </c>
      <c r="D6">
        <v>1</v>
      </c>
      <c r="E6">
        <v>2.397926</v>
      </c>
      <c r="F6">
        <v>11.703810000000001</v>
      </c>
      <c r="G6">
        <v>0.13978009999999999</v>
      </c>
      <c r="H6">
        <v>1.0218320000000001</v>
      </c>
      <c r="I6">
        <v>8.1953689999999995</v>
      </c>
      <c r="J6">
        <v>2.8355199999999998</v>
      </c>
      <c r="K6">
        <v>0</v>
      </c>
      <c r="L6" t="s">
        <v>13</v>
      </c>
    </row>
    <row r="7" spans="1:12" x14ac:dyDescent="0.3">
      <c r="A7">
        <v>11</v>
      </c>
      <c r="B7">
        <v>410.2029</v>
      </c>
      <c r="C7">
        <v>0.36700440000000001</v>
      </c>
      <c r="D7">
        <v>1</v>
      </c>
      <c r="E7">
        <v>7.7167979999999998</v>
      </c>
      <c r="F7">
        <v>30.552689999999998</v>
      </c>
      <c r="G7">
        <v>0.1455245</v>
      </c>
      <c r="H7">
        <v>3.4833270000000001</v>
      </c>
      <c r="I7">
        <v>5.051469</v>
      </c>
      <c r="J7">
        <v>2.605604</v>
      </c>
      <c r="K7">
        <v>0</v>
      </c>
      <c r="L7" t="s">
        <v>14</v>
      </c>
    </row>
    <row r="8" spans="1:12" x14ac:dyDescent="0.3">
      <c r="A8">
        <v>11</v>
      </c>
      <c r="B8">
        <v>413.73759999999999</v>
      </c>
      <c r="C8">
        <v>0.77874759999999998</v>
      </c>
      <c r="D8">
        <v>1</v>
      </c>
      <c r="E8">
        <v>2.5087280000000001</v>
      </c>
      <c r="F8">
        <v>8.7483760000000004</v>
      </c>
      <c r="G8">
        <v>0.16475690000000001</v>
      </c>
      <c r="H8">
        <v>2.3839090000000001</v>
      </c>
      <c r="I8">
        <v>10.610300000000001</v>
      </c>
      <c r="J8">
        <v>2.5450490000000001</v>
      </c>
      <c r="K8">
        <v>0</v>
      </c>
      <c r="L8" t="s">
        <v>15</v>
      </c>
    </row>
    <row r="9" spans="1:12" x14ac:dyDescent="0.3">
      <c r="A9">
        <v>11</v>
      </c>
      <c r="B9">
        <v>417.50560000000002</v>
      </c>
      <c r="C9">
        <v>0.71966549999999996</v>
      </c>
      <c r="D9">
        <v>1</v>
      </c>
      <c r="E9">
        <v>2.0977779999999999</v>
      </c>
      <c r="F9">
        <v>7.9229599999999998</v>
      </c>
      <c r="G9">
        <v>0.1955818</v>
      </c>
      <c r="H9">
        <v>0.5591313</v>
      </c>
      <c r="I9">
        <v>9.7965649999999993</v>
      </c>
      <c r="J9">
        <v>2.089896</v>
      </c>
      <c r="K9">
        <v>0</v>
      </c>
      <c r="L9" t="s">
        <v>16</v>
      </c>
    </row>
    <row r="10" spans="1:12" x14ac:dyDescent="0.3">
      <c r="A10">
        <v>11</v>
      </c>
      <c r="B10">
        <v>421.57709999999997</v>
      </c>
      <c r="C10">
        <v>0.79116819999999999</v>
      </c>
      <c r="D10">
        <v>1</v>
      </c>
      <c r="E10">
        <v>1.6997249999999999</v>
      </c>
      <c r="F10">
        <v>6.4513290000000003</v>
      </c>
      <c r="G10">
        <v>0.19431039999999999</v>
      </c>
      <c r="H10">
        <v>1.084581</v>
      </c>
      <c r="I10">
        <v>12.11957</v>
      </c>
      <c r="J10">
        <v>4.0683829999999999</v>
      </c>
      <c r="K10">
        <v>0</v>
      </c>
      <c r="L10" t="s">
        <v>17</v>
      </c>
    </row>
    <row r="11" spans="1:12" x14ac:dyDescent="0.3">
      <c r="A11">
        <v>11</v>
      </c>
      <c r="B11">
        <v>425.48610000000002</v>
      </c>
      <c r="C11">
        <v>0.92358399999999996</v>
      </c>
      <c r="D11">
        <v>1</v>
      </c>
      <c r="E11">
        <v>1.701111</v>
      </c>
      <c r="F11">
        <v>7.2332090000000004</v>
      </c>
      <c r="G11">
        <v>0.21430640000000001</v>
      </c>
      <c r="H11">
        <v>0.66227749999999996</v>
      </c>
      <c r="I11">
        <v>12.69975</v>
      </c>
      <c r="J11">
        <v>4.0249300000000003</v>
      </c>
      <c r="K11">
        <v>0</v>
      </c>
      <c r="L11" t="s">
        <v>18</v>
      </c>
    </row>
    <row r="12" spans="1:12" x14ac:dyDescent="0.3">
      <c r="A12">
        <v>11</v>
      </c>
      <c r="B12">
        <v>430.53879999999998</v>
      </c>
      <c r="C12">
        <v>1.571442</v>
      </c>
      <c r="D12">
        <v>0.83120950000000005</v>
      </c>
      <c r="E12">
        <v>3.5393819999999998</v>
      </c>
      <c r="F12">
        <v>10.399139999999999</v>
      </c>
      <c r="G12">
        <v>0.3799865</v>
      </c>
      <c r="H12">
        <v>12.67906</v>
      </c>
      <c r="I12">
        <v>20.421209999999999</v>
      </c>
      <c r="J12">
        <v>12.18646</v>
      </c>
      <c r="K12">
        <v>0</v>
      </c>
      <c r="L12" t="s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9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3</v>
      </c>
      <c r="B2">
        <v>175.51300000000001</v>
      </c>
      <c r="C2">
        <v>1.478577</v>
      </c>
      <c r="D2">
        <v>1</v>
      </c>
      <c r="E2">
        <v>1.6331789999999999</v>
      </c>
      <c r="F2">
        <v>8.3190530000000003</v>
      </c>
      <c r="G2">
        <v>0.2758139</v>
      </c>
      <c r="H2">
        <v>0.32596900000000001</v>
      </c>
      <c r="I2">
        <v>16.88334</v>
      </c>
      <c r="J2">
        <v>8.9057480000000009</v>
      </c>
      <c r="K2">
        <v>0</v>
      </c>
      <c r="L2" t="s">
        <v>12</v>
      </c>
    </row>
    <row r="3" spans="1:12" x14ac:dyDescent="0.3">
      <c r="A3">
        <v>3</v>
      </c>
      <c r="B3">
        <v>179.25049999999999</v>
      </c>
      <c r="C3">
        <v>1.1333009999999999</v>
      </c>
      <c r="D3">
        <v>1</v>
      </c>
      <c r="E3">
        <v>2.5367150000000001</v>
      </c>
      <c r="F3">
        <v>13.693339999999999</v>
      </c>
      <c r="G3">
        <v>0.1718073</v>
      </c>
      <c r="H3">
        <v>1.7460039999999999</v>
      </c>
      <c r="I3">
        <v>12.226610000000001</v>
      </c>
      <c r="J3">
        <v>4.0790410000000001</v>
      </c>
      <c r="K3">
        <v>0</v>
      </c>
      <c r="L3" t="s">
        <v>13</v>
      </c>
    </row>
    <row r="4" spans="1:12" x14ac:dyDescent="0.3">
      <c r="A4">
        <v>3</v>
      </c>
      <c r="B4">
        <v>183.328</v>
      </c>
      <c r="C4">
        <v>1.132843</v>
      </c>
      <c r="D4">
        <v>1</v>
      </c>
      <c r="E4">
        <v>1.8099730000000001</v>
      </c>
      <c r="F4">
        <v>8.7428509999999999</v>
      </c>
      <c r="G4">
        <v>0.19011049999999999</v>
      </c>
      <c r="H4">
        <v>1.829169</v>
      </c>
      <c r="I4">
        <v>12.214370000000001</v>
      </c>
      <c r="J4">
        <v>4.3305959999999999</v>
      </c>
      <c r="K4">
        <v>0</v>
      </c>
      <c r="L4" t="s">
        <v>14</v>
      </c>
    </row>
    <row r="5" spans="1:12" x14ac:dyDescent="0.3">
      <c r="A5">
        <v>3</v>
      </c>
      <c r="B5">
        <v>187.26089999999999</v>
      </c>
      <c r="C5">
        <v>1.481247</v>
      </c>
      <c r="D5">
        <v>1</v>
      </c>
      <c r="E5">
        <v>1.829677</v>
      </c>
      <c r="F5">
        <v>7.4861659999999999</v>
      </c>
      <c r="G5">
        <v>0.31537369999999998</v>
      </c>
      <c r="H5">
        <v>2.9897559999999999</v>
      </c>
      <c r="I5">
        <v>17.597359999999998</v>
      </c>
      <c r="J5">
        <v>8.8097390000000004</v>
      </c>
      <c r="K5">
        <v>0</v>
      </c>
      <c r="L5" t="s">
        <v>15</v>
      </c>
    </row>
    <row r="6" spans="1:12" x14ac:dyDescent="0.3">
      <c r="A6">
        <v>3</v>
      </c>
      <c r="B6">
        <v>191.30969999999999</v>
      </c>
      <c r="C6">
        <v>1.8760220000000001</v>
      </c>
      <c r="D6">
        <v>1</v>
      </c>
      <c r="E6">
        <v>2.349564</v>
      </c>
      <c r="F6">
        <v>10.71541</v>
      </c>
      <c r="G6">
        <v>0.19604730000000001</v>
      </c>
      <c r="H6">
        <v>1.316273</v>
      </c>
      <c r="I6">
        <v>20.83062</v>
      </c>
      <c r="J6">
        <v>8.3381030000000003</v>
      </c>
      <c r="K6">
        <v>0</v>
      </c>
      <c r="L6" t="s">
        <v>16</v>
      </c>
    </row>
    <row r="7" spans="1:12" x14ac:dyDescent="0.3">
      <c r="A7">
        <v>3</v>
      </c>
      <c r="B7">
        <v>196.4503</v>
      </c>
      <c r="C7">
        <v>2.102951</v>
      </c>
      <c r="D7">
        <v>1</v>
      </c>
      <c r="E7">
        <v>2.1290110000000002</v>
      </c>
      <c r="F7">
        <v>9.7554239999999997</v>
      </c>
      <c r="G7">
        <v>0.2512877</v>
      </c>
      <c r="H7">
        <v>1.7351719999999999</v>
      </c>
      <c r="I7">
        <v>25.097449999999998</v>
      </c>
      <c r="J7">
        <v>12.286720000000001</v>
      </c>
      <c r="K7">
        <v>0</v>
      </c>
      <c r="L7" t="s">
        <v>17</v>
      </c>
    </row>
    <row r="8" spans="1:12" x14ac:dyDescent="0.3">
      <c r="A8">
        <v>3</v>
      </c>
      <c r="B8">
        <v>202.01339999999999</v>
      </c>
      <c r="C8">
        <v>1.577896</v>
      </c>
      <c r="D8">
        <v>1</v>
      </c>
      <c r="E8">
        <v>1.5755760000000001</v>
      </c>
      <c r="F8">
        <v>9.0787510000000005</v>
      </c>
      <c r="G8">
        <v>0.1676329</v>
      </c>
      <c r="H8">
        <v>2.6665220000000001</v>
      </c>
      <c r="I8">
        <v>16.660360000000001</v>
      </c>
      <c r="J8">
        <v>4.7373760000000003</v>
      </c>
      <c r="K8">
        <v>0</v>
      </c>
      <c r="L8" t="s">
        <v>18</v>
      </c>
    </row>
    <row r="9" spans="1:12" x14ac:dyDescent="0.3">
      <c r="A9">
        <v>3</v>
      </c>
      <c r="B9">
        <v>206.7474</v>
      </c>
      <c r="C9">
        <v>1.908325</v>
      </c>
      <c r="D9">
        <v>0.95693830000000002</v>
      </c>
      <c r="E9">
        <v>2.9634990000000001</v>
      </c>
      <c r="F9">
        <v>7.87826</v>
      </c>
      <c r="G9">
        <v>0.40585389999999999</v>
      </c>
      <c r="H9">
        <v>9.8045629999999999</v>
      </c>
      <c r="I9">
        <v>23.698180000000001</v>
      </c>
      <c r="J9">
        <v>13.42689</v>
      </c>
      <c r="K9">
        <v>0</v>
      </c>
      <c r="L9" t="s">
        <v>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9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5</v>
      </c>
      <c r="B2">
        <v>285.45409999999998</v>
      </c>
      <c r="C2">
        <v>0.87600710000000004</v>
      </c>
      <c r="D2">
        <v>1</v>
      </c>
      <c r="E2">
        <v>1.994548</v>
      </c>
      <c r="F2">
        <v>10.816660000000001</v>
      </c>
      <c r="G2">
        <v>0.1551881</v>
      </c>
      <c r="H2">
        <v>0.64244310000000004</v>
      </c>
      <c r="I2">
        <v>9.7729850000000003</v>
      </c>
      <c r="J2">
        <v>4.2410569999999996</v>
      </c>
      <c r="K2">
        <v>0</v>
      </c>
      <c r="L2" t="s">
        <v>12</v>
      </c>
    </row>
    <row r="3" spans="1:12" x14ac:dyDescent="0.3">
      <c r="A3">
        <v>5</v>
      </c>
      <c r="B3">
        <v>289.48270000000002</v>
      </c>
      <c r="C3">
        <v>1.0670470000000001</v>
      </c>
      <c r="D3">
        <v>1</v>
      </c>
      <c r="E3">
        <v>1.6212139999999999</v>
      </c>
      <c r="F3">
        <v>8.1788179999999997</v>
      </c>
      <c r="G3">
        <v>0.23119020000000001</v>
      </c>
      <c r="H3">
        <v>0.74684419999999996</v>
      </c>
      <c r="I3">
        <v>12.2897</v>
      </c>
      <c r="J3">
        <v>5.7480659999999997</v>
      </c>
      <c r="K3">
        <v>0</v>
      </c>
      <c r="L3" t="s">
        <v>13</v>
      </c>
    </row>
    <row r="4" spans="1:12" x14ac:dyDescent="0.3">
      <c r="A4">
        <v>5</v>
      </c>
      <c r="B4">
        <v>292.88350000000003</v>
      </c>
      <c r="C4">
        <v>1.1621090000000001</v>
      </c>
      <c r="D4">
        <v>1</v>
      </c>
      <c r="E4">
        <v>1.9215450000000001</v>
      </c>
      <c r="F4">
        <v>9.2890879999999996</v>
      </c>
      <c r="G4">
        <v>0.24825610000000001</v>
      </c>
      <c r="H4">
        <v>0.45992260000000001</v>
      </c>
      <c r="I4">
        <v>14.27337</v>
      </c>
      <c r="J4">
        <v>7.7007339999999997</v>
      </c>
      <c r="K4">
        <v>0</v>
      </c>
      <c r="L4" t="s">
        <v>14</v>
      </c>
    </row>
    <row r="5" spans="1:12" x14ac:dyDescent="0.3">
      <c r="A5">
        <v>5</v>
      </c>
      <c r="B5">
        <v>297.01830000000001</v>
      </c>
      <c r="C5">
        <v>1.4746090000000001</v>
      </c>
      <c r="D5">
        <v>1</v>
      </c>
      <c r="E5">
        <v>1.9921519999999999</v>
      </c>
      <c r="F5">
        <v>8.6917790000000004</v>
      </c>
      <c r="G5">
        <v>0.25250889999999998</v>
      </c>
      <c r="H5">
        <v>2.529191</v>
      </c>
      <c r="I5">
        <v>17.419160000000002</v>
      </c>
      <c r="J5">
        <v>7.8558219999999999</v>
      </c>
      <c r="K5">
        <v>0</v>
      </c>
      <c r="L5" t="s">
        <v>15</v>
      </c>
    </row>
    <row r="6" spans="1:12" x14ac:dyDescent="0.3">
      <c r="A6">
        <v>5</v>
      </c>
      <c r="B6">
        <v>301.47379999999998</v>
      </c>
      <c r="C6">
        <v>1.4239809999999999</v>
      </c>
      <c r="D6">
        <v>1</v>
      </c>
      <c r="E6">
        <v>1.818265</v>
      </c>
      <c r="F6">
        <v>8.3867750000000001</v>
      </c>
      <c r="G6">
        <v>0.2168688</v>
      </c>
      <c r="H6">
        <v>0.97825329999999999</v>
      </c>
      <c r="I6">
        <v>15.6097</v>
      </c>
      <c r="J6">
        <v>5.4895490000000002</v>
      </c>
      <c r="K6">
        <v>0</v>
      </c>
      <c r="L6" t="s">
        <v>16</v>
      </c>
    </row>
    <row r="7" spans="1:12" x14ac:dyDescent="0.3">
      <c r="A7">
        <v>5</v>
      </c>
      <c r="B7">
        <v>306.4085</v>
      </c>
      <c r="C7">
        <v>1.3241270000000001</v>
      </c>
      <c r="D7">
        <v>1</v>
      </c>
      <c r="E7">
        <v>1.8650119999999999</v>
      </c>
      <c r="F7">
        <v>9.6835349999999991</v>
      </c>
      <c r="G7">
        <v>0.1873213</v>
      </c>
      <c r="H7">
        <v>3.1418889999999999</v>
      </c>
      <c r="I7">
        <v>14.637309999999999</v>
      </c>
      <c r="J7">
        <v>5.0431010000000001</v>
      </c>
      <c r="K7">
        <v>0</v>
      </c>
      <c r="L7" t="s">
        <v>17</v>
      </c>
    </row>
    <row r="8" spans="1:12" x14ac:dyDescent="0.3">
      <c r="A8">
        <v>5</v>
      </c>
      <c r="B8">
        <v>311.9871</v>
      </c>
      <c r="C8">
        <v>1.647705</v>
      </c>
      <c r="D8">
        <v>1</v>
      </c>
      <c r="E8">
        <v>2.1288559999999999</v>
      </c>
      <c r="F8">
        <v>11.64636</v>
      </c>
      <c r="G8">
        <v>0.19334660000000001</v>
      </c>
      <c r="H8">
        <v>1.3555980000000001</v>
      </c>
      <c r="I8">
        <v>17.547989999999999</v>
      </c>
      <c r="J8">
        <v>4.9559230000000003</v>
      </c>
      <c r="K8">
        <v>0</v>
      </c>
      <c r="L8" t="s">
        <v>18</v>
      </c>
    </row>
    <row r="9" spans="1:12" x14ac:dyDescent="0.3">
      <c r="A9">
        <v>5</v>
      </c>
      <c r="B9">
        <v>317.76389999999998</v>
      </c>
      <c r="C9">
        <v>2.0028079999999999</v>
      </c>
      <c r="D9">
        <v>0.84164989999999995</v>
      </c>
      <c r="E9">
        <v>2.981284</v>
      </c>
      <c r="F9">
        <v>9.0337619999999994</v>
      </c>
      <c r="G9">
        <v>0.4334286</v>
      </c>
      <c r="H9">
        <v>12.96594</v>
      </c>
      <c r="I9">
        <v>24.42117</v>
      </c>
      <c r="J9">
        <v>15.33902</v>
      </c>
      <c r="K9">
        <v>0</v>
      </c>
      <c r="L9" t="s">
        <v>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3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8</v>
      </c>
      <c r="B2">
        <v>514.83270000000005</v>
      </c>
      <c r="C2">
        <v>0.8091431</v>
      </c>
      <c r="D2">
        <v>1</v>
      </c>
      <c r="E2">
        <v>1.8652550000000001</v>
      </c>
      <c r="F2">
        <v>9.7444019999999991</v>
      </c>
      <c r="G2">
        <v>0.140487</v>
      </c>
      <c r="H2">
        <v>2.4812829999999999</v>
      </c>
      <c r="I2">
        <v>8.8052340000000004</v>
      </c>
      <c r="J2">
        <v>3.543428</v>
      </c>
      <c r="K2">
        <v>0</v>
      </c>
      <c r="L2" t="s">
        <v>12</v>
      </c>
    </row>
    <row r="3" spans="1:12" x14ac:dyDescent="0.3">
      <c r="A3">
        <v>8</v>
      </c>
      <c r="B3">
        <v>521.2491</v>
      </c>
      <c r="C3">
        <v>1.4268799999999999</v>
      </c>
      <c r="D3">
        <v>1</v>
      </c>
      <c r="E3">
        <v>2.2082000000000002</v>
      </c>
      <c r="F3">
        <v>7.6779380000000002</v>
      </c>
      <c r="G3">
        <v>0.329733</v>
      </c>
      <c r="H3">
        <v>1.7421260000000001</v>
      </c>
      <c r="I3">
        <v>18.694210000000002</v>
      </c>
      <c r="J3">
        <v>11.2249</v>
      </c>
      <c r="K3">
        <v>0</v>
      </c>
      <c r="L3" t="s">
        <v>13</v>
      </c>
    </row>
    <row r="4" spans="1:12" x14ac:dyDescent="0.3">
      <c r="A4">
        <v>8</v>
      </c>
      <c r="B4">
        <v>525.66139999999996</v>
      </c>
      <c r="C4">
        <v>1.9584349999999999</v>
      </c>
      <c r="D4">
        <v>1</v>
      </c>
      <c r="E4">
        <v>1.664541</v>
      </c>
      <c r="F4">
        <v>6.4267279999999998</v>
      </c>
      <c r="G4">
        <v>0.45298919999999998</v>
      </c>
      <c r="H4">
        <v>9.2584809999999997</v>
      </c>
      <c r="I4">
        <v>28.231310000000001</v>
      </c>
      <c r="J4">
        <v>18.844439999999999</v>
      </c>
      <c r="K4">
        <v>1</v>
      </c>
      <c r="L4" t="s">
        <v>14</v>
      </c>
    </row>
    <row r="5" spans="1:12" x14ac:dyDescent="0.3">
      <c r="A5">
        <v>9</v>
      </c>
      <c r="B5">
        <v>536.12130000000002</v>
      </c>
      <c r="C5">
        <v>1.098328</v>
      </c>
      <c r="D5">
        <v>1</v>
      </c>
      <c r="E5">
        <v>2.9609070000000002</v>
      </c>
      <c r="F5">
        <v>13.23826</v>
      </c>
      <c r="G5">
        <v>0.29809540000000001</v>
      </c>
      <c r="H5">
        <v>3.4195150000000001</v>
      </c>
      <c r="I5">
        <v>13.867100000000001</v>
      </c>
      <c r="J5">
        <v>7.782413</v>
      </c>
      <c r="K5">
        <v>0</v>
      </c>
      <c r="L5" t="s">
        <v>12</v>
      </c>
    </row>
    <row r="6" spans="1:12" x14ac:dyDescent="0.3">
      <c r="A6">
        <v>9</v>
      </c>
      <c r="B6">
        <v>541.95450000000005</v>
      </c>
      <c r="C6">
        <v>2.1822509999999999</v>
      </c>
      <c r="D6">
        <v>1</v>
      </c>
      <c r="E6">
        <v>1.54793</v>
      </c>
      <c r="F6">
        <v>4.9163940000000004</v>
      </c>
      <c r="G6">
        <v>0.5453597</v>
      </c>
      <c r="H6">
        <v>12.89527</v>
      </c>
      <c r="I6">
        <v>34.318710000000003</v>
      </c>
      <c r="J6">
        <v>24.1053</v>
      </c>
      <c r="K6">
        <v>1</v>
      </c>
      <c r="L6" t="s">
        <v>13</v>
      </c>
    </row>
    <row r="7" spans="1:12" x14ac:dyDescent="0.3">
      <c r="A7">
        <v>10</v>
      </c>
      <c r="B7">
        <v>549.54319999999996</v>
      </c>
      <c r="C7">
        <v>1.8197019999999999</v>
      </c>
      <c r="D7">
        <v>1</v>
      </c>
      <c r="E7">
        <v>1.9438070000000001</v>
      </c>
      <c r="F7">
        <v>8.5563920000000007</v>
      </c>
      <c r="G7">
        <v>0.36592200000000003</v>
      </c>
      <c r="H7">
        <v>2.2415919999999998</v>
      </c>
      <c r="I7">
        <v>23.62631</v>
      </c>
      <c r="J7">
        <v>14.146890000000001</v>
      </c>
      <c r="K7">
        <v>0</v>
      </c>
      <c r="L7" t="s">
        <v>12</v>
      </c>
    </row>
    <row r="8" spans="1:12" x14ac:dyDescent="0.3">
      <c r="A8">
        <v>10</v>
      </c>
      <c r="B8">
        <v>555.62570000000005</v>
      </c>
      <c r="C8">
        <v>1.5850219999999999</v>
      </c>
      <c r="D8">
        <v>1</v>
      </c>
      <c r="E8">
        <v>3.2426910000000002</v>
      </c>
      <c r="F8">
        <v>15.499000000000001</v>
      </c>
      <c r="G8">
        <v>0.21023530000000001</v>
      </c>
      <c r="H8">
        <v>1.7548919999999999</v>
      </c>
      <c r="I8">
        <v>16.319109999999998</v>
      </c>
      <c r="J8">
        <v>5.9749359999999996</v>
      </c>
      <c r="K8">
        <v>0</v>
      </c>
      <c r="L8" t="s">
        <v>13</v>
      </c>
    </row>
    <row r="9" spans="1:12" x14ac:dyDescent="0.3">
      <c r="A9">
        <v>10</v>
      </c>
      <c r="B9">
        <v>564.41959999999995</v>
      </c>
      <c r="C9">
        <v>1.065674</v>
      </c>
      <c r="D9">
        <v>1</v>
      </c>
      <c r="E9">
        <v>1.645087</v>
      </c>
      <c r="F9">
        <v>8.2013590000000001</v>
      </c>
      <c r="G9">
        <v>0.20573420000000001</v>
      </c>
      <c r="H9">
        <v>2.8634490000000001</v>
      </c>
      <c r="I9">
        <v>11.63405</v>
      </c>
      <c r="J9">
        <v>4.3771209999999998</v>
      </c>
      <c r="K9">
        <v>0</v>
      </c>
      <c r="L9" t="s">
        <v>14</v>
      </c>
    </row>
    <row r="10" spans="1:12" x14ac:dyDescent="0.3">
      <c r="A10">
        <v>10</v>
      </c>
      <c r="B10">
        <v>567.37950000000001</v>
      </c>
      <c r="C10">
        <v>2.690369</v>
      </c>
      <c r="D10">
        <v>0.45762599999999998</v>
      </c>
      <c r="E10">
        <v>2.520025</v>
      </c>
      <c r="F10">
        <v>8.3220530000000004</v>
      </c>
      <c r="G10">
        <v>0.63737580000000005</v>
      </c>
      <c r="H10">
        <v>37.503360000000001</v>
      </c>
      <c r="I10">
        <v>34.82349</v>
      </c>
      <c r="J10">
        <v>24.724540000000001</v>
      </c>
      <c r="K10">
        <v>1</v>
      </c>
      <c r="L10" t="s">
        <v>15</v>
      </c>
    </row>
    <row r="11" spans="1:12" x14ac:dyDescent="0.3">
      <c r="A11">
        <v>11</v>
      </c>
      <c r="B11">
        <v>576.03779999999995</v>
      </c>
      <c r="C11">
        <v>1.5897829999999999</v>
      </c>
      <c r="D11">
        <v>1</v>
      </c>
      <c r="E11">
        <v>2.1127940000000001</v>
      </c>
      <c r="F11">
        <v>10.105090000000001</v>
      </c>
      <c r="G11">
        <v>0.35818339999999999</v>
      </c>
      <c r="H11">
        <v>2.5020419999999999</v>
      </c>
      <c r="I11">
        <v>18.81739</v>
      </c>
      <c r="J11">
        <v>10.781470000000001</v>
      </c>
      <c r="K11">
        <v>0</v>
      </c>
      <c r="L11" t="s">
        <v>12</v>
      </c>
    </row>
    <row r="12" spans="1:12" x14ac:dyDescent="0.3">
      <c r="A12">
        <v>11</v>
      </c>
      <c r="B12">
        <v>581.2527</v>
      </c>
      <c r="C12">
        <v>1.873901</v>
      </c>
      <c r="D12">
        <v>1</v>
      </c>
      <c r="E12">
        <v>3.1040380000000001</v>
      </c>
      <c r="F12">
        <v>12.737819999999999</v>
      </c>
      <c r="G12">
        <v>0.29771989999999998</v>
      </c>
      <c r="H12">
        <v>2.0209160000000002</v>
      </c>
      <c r="I12">
        <v>20.713380000000001</v>
      </c>
      <c r="J12">
        <v>7.9407379999999996</v>
      </c>
      <c r="K12">
        <v>0</v>
      </c>
      <c r="L12" t="s">
        <v>13</v>
      </c>
    </row>
    <row r="13" spans="1:12" x14ac:dyDescent="0.3">
      <c r="A13">
        <v>11</v>
      </c>
      <c r="B13">
        <v>586.85170000000005</v>
      </c>
      <c r="C13">
        <v>1.519531</v>
      </c>
      <c r="D13">
        <v>1</v>
      </c>
      <c r="E13">
        <v>3.5729760000000002</v>
      </c>
      <c r="F13">
        <v>17.24653</v>
      </c>
      <c r="G13">
        <v>0.30257499999999998</v>
      </c>
      <c r="H13">
        <v>2.081779</v>
      </c>
      <c r="I13">
        <v>16.988</v>
      </c>
      <c r="J13">
        <v>7.3109799999999998</v>
      </c>
      <c r="K13">
        <v>0</v>
      </c>
      <c r="L13" t="s">
        <v>14</v>
      </c>
    </row>
    <row r="14" spans="1:12" x14ac:dyDescent="0.3">
      <c r="A14">
        <v>11</v>
      </c>
      <c r="B14">
        <v>593.88589999999999</v>
      </c>
      <c r="C14">
        <v>1.4675290000000001</v>
      </c>
      <c r="D14">
        <v>1</v>
      </c>
      <c r="E14">
        <v>3.1844489999999999</v>
      </c>
      <c r="F14">
        <v>12.390370000000001</v>
      </c>
      <c r="G14">
        <v>0.30804490000000001</v>
      </c>
      <c r="H14">
        <v>3.478799</v>
      </c>
      <c r="I14">
        <v>17.73368</v>
      </c>
      <c r="J14">
        <v>9.3221869999999996</v>
      </c>
      <c r="K14">
        <v>0</v>
      </c>
      <c r="L14" t="s">
        <v>15</v>
      </c>
    </row>
    <row r="15" spans="1:12" x14ac:dyDescent="0.3">
      <c r="A15">
        <v>11</v>
      </c>
      <c r="B15">
        <v>596.44929999999999</v>
      </c>
      <c r="C15">
        <v>0.49102780000000001</v>
      </c>
      <c r="D15">
        <v>0.37314239999999999</v>
      </c>
      <c r="E15">
        <v>1.245722</v>
      </c>
      <c r="F15">
        <v>4.0918520000000003</v>
      </c>
      <c r="G15">
        <v>0.43504939999999998</v>
      </c>
      <c r="H15">
        <v>33.185589999999998</v>
      </c>
      <c r="I15">
        <v>7.3065509999999998</v>
      </c>
      <c r="J15">
        <v>6.4220309999999996</v>
      </c>
      <c r="K15">
        <v>1</v>
      </c>
      <c r="L15" t="s">
        <v>16</v>
      </c>
    </row>
    <row r="16" spans="1:12" x14ac:dyDescent="0.3">
      <c r="A16">
        <v>12</v>
      </c>
      <c r="B16">
        <v>602.53210000000001</v>
      </c>
      <c r="C16">
        <v>1.2744139999999999</v>
      </c>
      <c r="D16">
        <v>1</v>
      </c>
      <c r="E16">
        <v>1.7044509999999999</v>
      </c>
      <c r="F16">
        <v>8.2577639999999999</v>
      </c>
      <c r="G16">
        <v>0.23096059999999999</v>
      </c>
      <c r="H16">
        <v>0.63282939999999999</v>
      </c>
      <c r="I16">
        <v>14.654820000000001</v>
      </c>
      <c r="J16">
        <v>6.9278209999999998</v>
      </c>
      <c r="K16">
        <v>0</v>
      </c>
      <c r="L16" t="s">
        <v>12</v>
      </c>
    </row>
    <row r="17" spans="1:12" x14ac:dyDescent="0.3">
      <c r="A17">
        <v>12</v>
      </c>
      <c r="B17">
        <v>608.18880000000001</v>
      </c>
      <c r="C17">
        <v>0.91046139999999998</v>
      </c>
      <c r="D17">
        <v>1</v>
      </c>
      <c r="E17">
        <v>1.98563</v>
      </c>
      <c r="F17">
        <v>8.6514249999999997</v>
      </c>
      <c r="G17">
        <v>0.17816779999999999</v>
      </c>
      <c r="H17">
        <v>2.1410339999999999</v>
      </c>
      <c r="I17">
        <v>10.098649999999999</v>
      </c>
      <c r="J17">
        <v>4.3051149999999998</v>
      </c>
      <c r="K17">
        <v>0</v>
      </c>
      <c r="L17" t="s">
        <v>13</v>
      </c>
    </row>
    <row r="18" spans="1:12" x14ac:dyDescent="0.3">
      <c r="A18">
        <v>12</v>
      </c>
      <c r="B18">
        <v>614.86220000000003</v>
      </c>
      <c r="C18">
        <v>1.2218020000000001</v>
      </c>
      <c r="D18">
        <v>1</v>
      </c>
      <c r="E18">
        <v>1.548805</v>
      </c>
      <c r="F18">
        <v>6.8345250000000002</v>
      </c>
      <c r="G18">
        <v>0.27507920000000002</v>
      </c>
      <c r="H18">
        <v>0.54873499999999997</v>
      </c>
      <c r="I18">
        <v>15.183199999999999</v>
      </c>
      <c r="J18">
        <v>8.1494940000000007</v>
      </c>
      <c r="K18">
        <v>0</v>
      </c>
      <c r="L18" t="s">
        <v>14</v>
      </c>
    </row>
    <row r="19" spans="1:12" x14ac:dyDescent="0.3">
      <c r="A19">
        <v>12</v>
      </c>
      <c r="B19">
        <v>621.06010000000003</v>
      </c>
      <c r="C19">
        <v>1.8203739999999999</v>
      </c>
      <c r="D19">
        <v>1</v>
      </c>
      <c r="E19">
        <v>2.255045</v>
      </c>
      <c r="F19">
        <v>8.1088260000000005</v>
      </c>
      <c r="G19">
        <v>0.39013160000000002</v>
      </c>
      <c r="H19">
        <v>3.2229930000000002</v>
      </c>
      <c r="I19">
        <v>22.804010000000002</v>
      </c>
      <c r="J19">
        <v>12.73058</v>
      </c>
      <c r="K19">
        <v>0</v>
      </c>
      <c r="L19" t="s">
        <v>15</v>
      </c>
    </row>
    <row r="20" spans="1:12" x14ac:dyDescent="0.3">
      <c r="A20">
        <v>12</v>
      </c>
      <c r="B20">
        <v>627.4434</v>
      </c>
      <c r="C20">
        <v>1.7756350000000001</v>
      </c>
      <c r="D20">
        <v>1</v>
      </c>
      <c r="E20">
        <v>1.997684</v>
      </c>
      <c r="F20">
        <v>7.83751</v>
      </c>
      <c r="G20">
        <v>0.38421230000000001</v>
      </c>
      <c r="H20">
        <v>1.6158360000000001</v>
      </c>
      <c r="I20">
        <v>22.684989999999999</v>
      </c>
      <c r="J20">
        <v>13.019030000000001</v>
      </c>
      <c r="K20">
        <v>0</v>
      </c>
      <c r="L20" t="s">
        <v>16</v>
      </c>
    </row>
    <row r="21" spans="1:12" x14ac:dyDescent="0.3">
      <c r="A21">
        <v>12</v>
      </c>
      <c r="B21">
        <v>633.07809999999995</v>
      </c>
      <c r="C21">
        <v>1.543579</v>
      </c>
      <c r="D21">
        <v>1</v>
      </c>
      <c r="E21">
        <v>3.1112479999999998</v>
      </c>
      <c r="F21">
        <v>11.681520000000001</v>
      </c>
      <c r="G21">
        <v>0.33566649999999998</v>
      </c>
      <c r="H21">
        <v>3.2743350000000002</v>
      </c>
      <c r="I21">
        <v>19.709119999999999</v>
      </c>
      <c r="J21">
        <v>11.409789999999999</v>
      </c>
      <c r="K21">
        <v>0</v>
      </c>
      <c r="L21" t="s">
        <v>17</v>
      </c>
    </row>
    <row r="22" spans="1:12" x14ac:dyDescent="0.3">
      <c r="A22">
        <v>12</v>
      </c>
      <c r="B22">
        <v>646.94780000000003</v>
      </c>
      <c r="C22">
        <v>1.9326779999999999</v>
      </c>
      <c r="D22">
        <v>1</v>
      </c>
      <c r="E22">
        <v>1.4849730000000001</v>
      </c>
      <c r="F22">
        <v>6.7654459999999998</v>
      </c>
      <c r="G22">
        <v>0.382187</v>
      </c>
      <c r="H22">
        <v>2.0092789999999998</v>
      </c>
      <c r="I22">
        <v>23.92482</v>
      </c>
      <c r="J22">
        <v>16.073450000000001</v>
      </c>
      <c r="K22">
        <v>0</v>
      </c>
      <c r="L22" t="s">
        <v>18</v>
      </c>
    </row>
    <row r="23" spans="1:12" x14ac:dyDescent="0.3">
      <c r="A23">
        <v>12</v>
      </c>
      <c r="B23">
        <v>654.15499999999997</v>
      </c>
      <c r="C23">
        <v>2.111145</v>
      </c>
      <c r="D23">
        <v>0.94649930000000004</v>
      </c>
      <c r="E23">
        <v>1.9850650000000001</v>
      </c>
      <c r="F23">
        <v>5.0468679999999999</v>
      </c>
      <c r="G23">
        <v>0.5552878</v>
      </c>
      <c r="H23">
        <v>13.112970000000001</v>
      </c>
      <c r="I23">
        <v>27.532830000000001</v>
      </c>
      <c r="J23">
        <v>16.820319999999999</v>
      </c>
      <c r="K23">
        <v>0</v>
      </c>
      <c r="L23" t="s">
        <v>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9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7</v>
      </c>
      <c r="B2">
        <v>372.4581</v>
      </c>
      <c r="C2">
        <v>1.141113</v>
      </c>
      <c r="D2">
        <v>1</v>
      </c>
      <c r="E2">
        <v>1.670639</v>
      </c>
      <c r="F2">
        <v>8.9224499999999995</v>
      </c>
      <c r="G2">
        <v>0.17598</v>
      </c>
      <c r="H2">
        <v>0.52851119999999996</v>
      </c>
      <c r="I2">
        <v>13.1068</v>
      </c>
      <c r="J2">
        <v>5.8194650000000001</v>
      </c>
      <c r="K2">
        <v>0</v>
      </c>
      <c r="L2" t="s">
        <v>12</v>
      </c>
    </row>
    <row r="3" spans="1:12" x14ac:dyDescent="0.3">
      <c r="A3">
        <v>7</v>
      </c>
      <c r="B3">
        <v>376.44909999999999</v>
      </c>
      <c r="C3">
        <v>1.5366519999999999</v>
      </c>
      <c r="D3">
        <v>1</v>
      </c>
      <c r="E3">
        <v>1.725633</v>
      </c>
      <c r="F3">
        <v>8.4204039999999996</v>
      </c>
      <c r="G3">
        <v>0.30432360000000003</v>
      </c>
      <c r="H3">
        <v>0.95148180000000004</v>
      </c>
      <c r="I3">
        <v>19.05893</v>
      </c>
      <c r="J3">
        <v>11.97424</v>
      </c>
      <c r="K3">
        <v>0</v>
      </c>
      <c r="L3" t="s">
        <v>13</v>
      </c>
    </row>
    <row r="4" spans="1:12" x14ac:dyDescent="0.3">
      <c r="A4">
        <v>7</v>
      </c>
      <c r="B4">
        <v>383.89139999999998</v>
      </c>
      <c r="C4">
        <v>1.288025</v>
      </c>
      <c r="D4">
        <v>1</v>
      </c>
      <c r="E4">
        <v>2.4972759999999998</v>
      </c>
      <c r="F4">
        <v>13.043469999999999</v>
      </c>
      <c r="G4">
        <v>0.27160269999999997</v>
      </c>
      <c r="H4">
        <v>0.98882060000000005</v>
      </c>
      <c r="I4">
        <v>14.74226</v>
      </c>
      <c r="J4">
        <v>6.5996459999999999</v>
      </c>
      <c r="K4">
        <v>0</v>
      </c>
      <c r="L4" t="s">
        <v>14</v>
      </c>
    </row>
    <row r="5" spans="1:12" x14ac:dyDescent="0.3">
      <c r="A5">
        <v>7</v>
      </c>
      <c r="B5">
        <v>389.5523</v>
      </c>
      <c r="C5">
        <v>1.8994450000000001</v>
      </c>
      <c r="D5">
        <v>1</v>
      </c>
      <c r="E5">
        <v>2.6191270000000002</v>
      </c>
      <c r="F5">
        <v>10.81156</v>
      </c>
      <c r="G5">
        <v>0.25360929999999998</v>
      </c>
      <c r="H5">
        <v>2.171681</v>
      </c>
      <c r="I5">
        <v>22.52947</v>
      </c>
      <c r="J5">
        <v>9.3415149999999993</v>
      </c>
      <c r="K5">
        <v>0</v>
      </c>
      <c r="L5" t="s">
        <v>15</v>
      </c>
    </row>
    <row r="6" spans="1:12" x14ac:dyDescent="0.3">
      <c r="A6">
        <v>7</v>
      </c>
      <c r="B6">
        <v>394.01080000000002</v>
      </c>
      <c r="C6">
        <v>2.030945</v>
      </c>
      <c r="D6">
        <v>1</v>
      </c>
      <c r="E6">
        <v>1.4771510000000001</v>
      </c>
      <c r="F6">
        <v>8.1338550000000005</v>
      </c>
      <c r="G6">
        <v>0.28251959999999998</v>
      </c>
      <c r="H6">
        <v>2.3951090000000002</v>
      </c>
      <c r="I6">
        <v>21.792629999999999</v>
      </c>
      <c r="J6">
        <v>9.7949090000000005</v>
      </c>
      <c r="K6">
        <v>0</v>
      </c>
      <c r="L6" t="s">
        <v>16</v>
      </c>
    </row>
    <row r="7" spans="1:12" x14ac:dyDescent="0.3">
      <c r="A7">
        <v>7</v>
      </c>
      <c r="B7">
        <v>398.62290000000002</v>
      </c>
      <c r="C7">
        <v>2.7419129999999998</v>
      </c>
      <c r="D7">
        <v>0.99198699999999995</v>
      </c>
      <c r="E7">
        <v>1.9823649999999999</v>
      </c>
      <c r="F7">
        <v>10.258319999999999</v>
      </c>
      <c r="G7">
        <v>0.40803279999999997</v>
      </c>
      <c r="H7">
        <v>1.0814649999999999</v>
      </c>
      <c r="I7">
        <v>32.078609999999998</v>
      </c>
      <c r="J7">
        <v>19.750800000000002</v>
      </c>
      <c r="K7">
        <v>0</v>
      </c>
      <c r="L7" t="s">
        <v>17</v>
      </c>
    </row>
    <row r="8" spans="1:12" x14ac:dyDescent="0.3">
      <c r="A8">
        <v>7</v>
      </c>
      <c r="B8">
        <v>408.4907</v>
      </c>
      <c r="C8">
        <v>2.2439879999999999</v>
      </c>
      <c r="D8">
        <v>1</v>
      </c>
      <c r="E8">
        <v>2.0543239999999998</v>
      </c>
      <c r="F8">
        <v>9.4988720000000004</v>
      </c>
      <c r="G8">
        <v>0.32324609999999998</v>
      </c>
      <c r="H8">
        <v>1.6930829999999999</v>
      </c>
      <c r="I8">
        <v>29.412759999999999</v>
      </c>
      <c r="J8">
        <v>16.49295</v>
      </c>
      <c r="K8">
        <v>0</v>
      </c>
      <c r="L8" t="s">
        <v>18</v>
      </c>
    </row>
    <row r="9" spans="1:12" x14ac:dyDescent="0.3">
      <c r="A9">
        <v>7</v>
      </c>
      <c r="B9">
        <v>417.46550000000002</v>
      </c>
      <c r="C9">
        <v>2.0894469999999998</v>
      </c>
      <c r="D9">
        <v>0.96483359999999996</v>
      </c>
      <c r="E9">
        <v>1.954169</v>
      </c>
      <c r="F9">
        <v>5.8581209999999997</v>
      </c>
      <c r="G9">
        <v>0.50253020000000004</v>
      </c>
      <c r="H9">
        <v>11.400029999999999</v>
      </c>
      <c r="I9">
        <v>27.35379</v>
      </c>
      <c r="J9">
        <v>16.77693</v>
      </c>
      <c r="K9">
        <v>0</v>
      </c>
      <c r="L9" t="s">
        <v>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9"/>
  <sheetViews>
    <sheetView workbookViewId="0">
      <selection activeCell="C1" sqref="C1"/>
    </sheetView>
  </sheetViews>
  <sheetFormatPr defaultRowHeight="14.4" x14ac:dyDescent="0.3"/>
  <cols>
    <col min="5" max="5" width="23.109375" customWidth="1"/>
    <col min="6" max="6" width="20.33203125" customWidth="1"/>
    <col min="7" max="7" width="16.109375" customWidth="1"/>
    <col min="8" max="8" width="15.6640625" customWidth="1"/>
    <col min="9" max="9" width="15.88671875" customWidth="1"/>
    <col min="10" max="10" width="17.6640625" customWidth="1"/>
    <col min="11" max="11" width="15.44140625" customWidth="1"/>
    <col min="12" max="12" width="13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3</v>
      </c>
      <c r="B2">
        <v>231.98699999999999</v>
      </c>
      <c r="C2">
        <v>0.94508360000000002</v>
      </c>
      <c r="D2">
        <v>1</v>
      </c>
      <c r="E2">
        <v>1.7598290000000001</v>
      </c>
      <c r="F2">
        <v>8.5917270000000006</v>
      </c>
      <c r="G2">
        <v>0.2093798</v>
      </c>
      <c r="H2">
        <v>0.87824800000000003</v>
      </c>
      <c r="I2">
        <v>10.03659</v>
      </c>
      <c r="J2">
        <v>3.4020419999999998</v>
      </c>
      <c r="K2">
        <v>0</v>
      </c>
      <c r="L2" t="s">
        <v>12</v>
      </c>
    </row>
    <row r="3" spans="1:12" x14ac:dyDescent="0.3">
      <c r="A3">
        <v>3</v>
      </c>
      <c r="B3">
        <v>236.61750000000001</v>
      </c>
      <c r="C3">
        <v>1.422836</v>
      </c>
      <c r="D3">
        <v>1</v>
      </c>
      <c r="E3">
        <v>2.4825240000000002</v>
      </c>
      <c r="F3">
        <v>10.380509999999999</v>
      </c>
      <c r="G3">
        <v>0.19454750000000001</v>
      </c>
      <c r="H3">
        <v>0.94668620000000003</v>
      </c>
      <c r="I3">
        <v>15.066599999999999</v>
      </c>
      <c r="J3">
        <v>4.8105789999999997</v>
      </c>
      <c r="K3">
        <v>0</v>
      </c>
      <c r="L3" t="s">
        <v>13</v>
      </c>
    </row>
    <row r="4" spans="1:12" x14ac:dyDescent="0.3">
      <c r="A4">
        <v>3</v>
      </c>
      <c r="B4">
        <v>241.69200000000001</v>
      </c>
      <c r="C4">
        <v>1.0275270000000001</v>
      </c>
      <c r="D4">
        <v>1</v>
      </c>
      <c r="E4">
        <v>1.809274</v>
      </c>
      <c r="F4">
        <v>9.1964419999999993</v>
      </c>
      <c r="G4">
        <v>0.1774519</v>
      </c>
      <c r="H4">
        <v>1.0588489999999999</v>
      </c>
      <c r="I4">
        <v>10.820499999999999</v>
      </c>
      <c r="J4">
        <v>3.537029</v>
      </c>
      <c r="K4">
        <v>0</v>
      </c>
      <c r="L4" t="s">
        <v>14</v>
      </c>
    </row>
    <row r="5" spans="1:12" x14ac:dyDescent="0.3">
      <c r="A5">
        <v>3</v>
      </c>
      <c r="B5">
        <v>246.96510000000001</v>
      </c>
      <c r="C5">
        <v>1.958466</v>
      </c>
      <c r="D5">
        <v>1</v>
      </c>
      <c r="E5">
        <v>2.740634</v>
      </c>
      <c r="F5">
        <v>12.041</v>
      </c>
      <c r="G5">
        <v>0.1798852</v>
      </c>
      <c r="H5">
        <v>0.79763099999999998</v>
      </c>
      <c r="I5">
        <v>20.02955</v>
      </c>
      <c r="J5">
        <v>4.0121799999999999</v>
      </c>
      <c r="K5">
        <v>0</v>
      </c>
      <c r="L5" t="s">
        <v>15</v>
      </c>
    </row>
    <row r="6" spans="1:12" x14ac:dyDescent="0.3">
      <c r="A6">
        <v>3</v>
      </c>
      <c r="B6">
        <v>252.2321</v>
      </c>
      <c r="C6">
        <v>1.6542049999999999</v>
      </c>
      <c r="D6">
        <v>1</v>
      </c>
      <c r="E6">
        <v>2.8324880000000001</v>
      </c>
      <c r="F6">
        <v>12.23837</v>
      </c>
      <c r="G6">
        <v>0.18005650000000001</v>
      </c>
      <c r="H6">
        <v>0.86048259999999999</v>
      </c>
      <c r="I6">
        <v>17.126799999999999</v>
      </c>
      <c r="J6">
        <v>4.0136849999999997</v>
      </c>
      <c r="K6">
        <v>0</v>
      </c>
      <c r="L6" t="s">
        <v>16</v>
      </c>
    </row>
    <row r="7" spans="1:12" x14ac:dyDescent="0.3">
      <c r="A7">
        <v>3</v>
      </c>
      <c r="B7">
        <v>256.8741</v>
      </c>
      <c r="C7">
        <v>1.879059</v>
      </c>
      <c r="D7">
        <v>1</v>
      </c>
      <c r="E7">
        <v>2.2137880000000001</v>
      </c>
      <c r="F7">
        <v>9.5897269999999999</v>
      </c>
      <c r="G7">
        <v>0.23710800000000001</v>
      </c>
      <c r="H7">
        <v>1.548103</v>
      </c>
      <c r="I7">
        <v>19.853100000000001</v>
      </c>
      <c r="J7">
        <v>6.0156840000000003</v>
      </c>
      <c r="K7">
        <v>0</v>
      </c>
      <c r="L7" t="s">
        <v>17</v>
      </c>
    </row>
    <row r="8" spans="1:12" x14ac:dyDescent="0.3">
      <c r="A8">
        <v>3</v>
      </c>
      <c r="B8">
        <v>262.05220000000003</v>
      </c>
      <c r="C8">
        <v>1.8925780000000001</v>
      </c>
      <c r="D8">
        <v>1</v>
      </c>
      <c r="E8">
        <v>1.856671</v>
      </c>
      <c r="F8">
        <v>9.4212980000000002</v>
      </c>
      <c r="G8">
        <v>0.2028576</v>
      </c>
      <c r="H8">
        <v>0.81741909999999995</v>
      </c>
      <c r="I8">
        <v>19.904240000000001</v>
      </c>
      <c r="J8">
        <v>5.6732300000000002</v>
      </c>
      <c r="K8">
        <v>0</v>
      </c>
      <c r="L8" t="s">
        <v>18</v>
      </c>
    </row>
    <row r="9" spans="1:12" x14ac:dyDescent="0.3">
      <c r="A9">
        <v>3</v>
      </c>
      <c r="B9">
        <v>267.11</v>
      </c>
      <c r="C9">
        <v>1.710693</v>
      </c>
      <c r="D9">
        <v>1</v>
      </c>
      <c r="E9">
        <v>2.6891389999999999</v>
      </c>
      <c r="F9">
        <v>6.5667549999999997</v>
      </c>
      <c r="G9">
        <v>0.51252600000000004</v>
      </c>
      <c r="H9">
        <v>8.2130240000000008</v>
      </c>
      <c r="I9">
        <v>19.656379999999999</v>
      </c>
      <c r="J9">
        <v>9.5969709999999999</v>
      </c>
      <c r="K9">
        <v>0</v>
      </c>
      <c r="L9" t="s">
        <v>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0DE0-0132-45C8-A0BC-C76AD1892DC0}">
  <dimension ref="A1:K20"/>
  <sheetViews>
    <sheetView tabSelected="1" topLeftCell="C1" zoomScale="85" zoomScaleNormal="85" workbookViewId="0">
      <selection sqref="A1:K16"/>
    </sheetView>
  </sheetViews>
  <sheetFormatPr defaultRowHeight="14.4" x14ac:dyDescent="0.3"/>
  <cols>
    <col min="1" max="10" width="23" customWidth="1"/>
  </cols>
  <sheetData>
    <row r="1" spans="1:11" x14ac:dyDescent="0.3">
      <c r="A1" s="2" t="s">
        <v>20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0" t="s">
        <v>39</v>
      </c>
    </row>
    <row r="2" spans="1:11" x14ac:dyDescent="0.3">
      <c r="A2" s="3" t="s">
        <v>21</v>
      </c>
      <c r="B2">
        <f>AVERAGE(AlexVargas!C:C)</f>
        <v>1.5356102500000002</v>
      </c>
      <c r="C2">
        <f>AVERAGE(AlexVargas!D:D)</f>
        <v>0.99908667500000004</v>
      </c>
      <c r="D2">
        <f>AVERAGE(AlexVargas!E:E)</f>
        <v>3.3441827500000003</v>
      </c>
      <c r="E2">
        <f>AVERAGE(AlexVargas!F:F)</f>
        <v>9.1176906249999998</v>
      </c>
      <c r="F2">
        <f>AVERAGE(AlexVargas!G:G)</f>
        <v>0.43785116249999995</v>
      </c>
      <c r="G2">
        <f>AVERAGE(AlexVargas!H:H)</f>
        <v>1.4709739625</v>
      </c>
      <c r="H2">
        <f>AVERAGE(AlexVargas!I:I)</f>
        <v>18.443232499999997</v>
      </c>
      <c r="I2">
        <f>AVERAGE(AlexVargas!J:J)</f>
        <v>10.17170325</v>
      </c>
      <c r="J2">
        <f>AVERAGE(AlexVargas!K:K)</f>
        <v>0</v>
      </c>
      <c r="K2">
        <v>0</v>
      </c>
    </row>
    <row r="3" spans="1:11" x14ac:dyDescent="0.3">
      <c r="A3" s="3" t="s">
        <v>22</v>
      </c>
      <c r="B3">
        <f>AVERAGE(AntoFlores!C:C)</f>
        <v>1.589447125</v>
      </c>
      <c r="C3">
        <f>AVERAGE(AntoFlores!D:D)</f>
        <v>0.99507053749999996</v>
      </c>
      <c r="D3">
        <f>AVERAGE(AntoFlores!E:E)</f>
        <v>2.2616381249999997</v>
      </c>
      <c r="E3">
        <f>AVERAGE(AntoFlores!F:F)</f>
        <v>11.306702000000001</v>
      </c>
      <c r="F3">
        <f>AVERAGE(AntoFlores!G:G)</f>
        <v>0.22430359999999999</v>
      </c>
      <c r="G3">
        <f>AVERAGE(AntoFlores!H:H)</f>
        <v>2.7079470875</v>
      </c>
      <c r="H3">
        <f>AVERAGE(AntoFlores!I:I)</f>
        <v>17.781675</v>
      </c>
      <c r="I3">
        <f>AVERAGE(AntoFlores!J:J)</f>
        <v>6.976316624999999</v>
      </c>
      <c r="J3">
        <f>AVERAGE(AntoFlores!K:K)</f>
        <v>0</v>
      </c>
      <c r="K3">
        <v>0</v>
      </c>
    </row>
    <row r="4" spans="1:11" x14ac:dyDescent="0.3">
      <c r="A4" s="3" t="s">
        <v>23</v>
      </c>
      <c r="B4">
        <f>AVERAGE(BenjaCarrasco!C:C)</f>
        <v>1.4444250333333333</v>
      </c>
      <c r="C4">
        <f>AVERAGE(BenjaCarrasco!D:D)</f>
        <v>0.9635201916666668</v>
      </c>
      <c r="D4">
        <f>AVERAGE(BenjaCarrasco!E:E)</f>
        <v>1.953924</v>
      </c>
      <c r="E4">
        <f>AVERAGE(BenjaCarrasco!F:F)</f>
        <v>8.8863356666666675</v>
      </c>
      <c r="F4">
        <f>AVERAGE(BenjaCarrasco!G:G)</f>
        <v>0.28682760833333326</v>
      </c>
      <c r="G4">
        <f>AVERAGE(BenjaCarrasco!H:H)</f>
        <v>4.6225414916666665</v>
      </c>
      <c r="H4">
        <f>AVERAGE(BenjaCarrasco!I:I)</f>
        <v>17.047490750000001</v>
      </c>
      <c r="I4">
        <f>AVERAGE(BenjaCarrasco!J:J)</f>
        <v>8.5870399166666669</v>
      </c>
      <c r="J4">
        <f>AVERAGE(BenjaCarrasco!K:K)</f>
        <v>8.3333333333333329E-2</v>
      </c>
      <c r="K4">
        <v>0</v>
      </c>
    </row>
    <row r="5" spans="1:11" x14ac:dyDescent="0.3">
      <c r="A5" s="3" t="s">
        <v>24</v>
      </c>
      <c r="B5">
        <f>AVERAGE(CamilaCarrascoBaier!C:C)</f>
        <v>1.5667789909090912</v>
      </c>
      <c r="C5">
        <f>AVERAGE(CamilaCarrascoBaier!D:D)</f>
        <v>0.97189313636363617</v>
      </c>
      <c r="D5">
        <f>AVERAGE(CamilaCarrascoBaier!E:E)</f>
        <v>2.9231610303030298</v>
      </c>
      <c r="E5">
        <f>AVERAGE(CamilaCarrascoBaier!F:F)</f>
        <v>10.51699803030303</v>
      </c>
      <c r="F5">
        <f>AVERAGE(CamilaCarrascoBaier!G:G)</f>
        <v>0.36953408484848471</v>
      </c>
      <c r="G5">
        <f>AVERAGE(CamilaCarrascoBaier!H:H)</f>
        <v>5.4995680303030303</v>
      </c>
      <c r="H5">
        <f>AVERAGE(CamilaCarrascoBaier!I:I)</f>
        <v>17.883482999999998</v>
      </c>
      <c r="I5">
        <f>AVERAGE(CamilaCarrascoBaier!J:J)</f>
        <v>8.6357814545454552</v>
      </c>
      <c r="J5">
        <f>AVERAGE(CamilaCarrascoBaier!K:K)</f>
        <v>0.21212121212121213</v>
      </c>
      <c r="K5">
        <v>0</v>
      </c>
    </row>
    <row r="6" spans="1:11" x14ac:dyDescent="0.3">
      <c r="A6" s="6" t="s">
        <v>25</v>
      </c>
      <c r="B6" s="7"/>
      <c r="C6" s="7"/>
      <c r="D6" s="7"/>
      <c r="E6" s="7"/>
      <c r="F6" s="7"/>
      <c r="G6" s="7"/>
      <c r="H6" s="7"/>
      <c r="I6" s="7"/>
      <c r="J6" s="7"/>
      <c r="K6">
        <v>0</v>
      </c>
    </row>
    <row r="7" spans="1:11" x14ac:dyDescent="0.3">
      <c r="A7" s="3" t="s">
        <v>26</v>
      </c>
      <c r="B7">
        <f>AVERAGE(DiegoContreras!C:C)</f>
        <v>1.7241823000000001</v>
      </c>
      <c r="C7">
        <f>AVERAGE(DiegoContreras!D:D)</f>
        <v>0.99949151000000003</v>
      </c>
      <c r="D7">
        <f>AVERAGE(DiegoContreras!E:E)</f>
        <v>1.6987321000000002</v>
      </c>
      <c r="E7">
        <f>AVERAGE(DiegoContreras!F:F)</f>
        <v>7.1278458000000002</v>
      </c>
      <c r="F7">
        <f>AVERAGE(DiegoContreras!G:G)</f>
        <v>0.34035650000000006</v>
      </c>
      <c r="G7">
        <f>AVERAGE(DiegoContreras!H:H)</f>
        <v>3.5676923099999995</v>
      </c>
      <c r="H7">
        <f>AVERAGE(DiegoContreras!I:I)</f>
        <v>22.565159000000001</v>
      </c>
      <c r="I7">
        <f>AVERAGE(DiegoContreras!J:J)</f>
        <v>13.900347500000001</v>
      </c>
      <c r="J7">
        <f>AVERAGE(DiegoContreras!K:K)</f>
        <v>0.1</v>
      </c>
      <c r="K7">
        <v>0</v>
      </c>
    </row>
    <row r="8" spans="1:11" x14ac:dyDescent="0.3">
      <c r="A8" s="3" t="s">
        <v>27</v>
      </c>
      <c r="B8">
        <f>AVERAGE(FranPerez!C:C)</f>
        <v>1.5544625000000001</v>
      </c>
      <c r="C8">
        <f>AVERAGE(FranPerez!D:D)</f>
        <v>1</v>
      </c>
      <c r="D8">
        <f>AVERAGE(FranPerez!E:E)</f>
        <v>4.2214299999999998</v>
      </c>
      <c r="E8">
        <f>AVERAGE(FranPerez!F:F)</f>
        <v>12.538839750000001</v>
      </c>
      <c r="F8">
        <f>AVERAGE(FranPerez!G:G)</f>
        <v>0.33111649999999998</v>
      </c>
      <c r="G8">
        <f>AVERAGE(FranPerez!H:H)</f>
        <v>2.4592141249999999</v>
      </c>
      <c r="H8">
        <f>AVERAGE(FranPerez!I:I)</f>
        <v>16.085650000000001</v>
      </c>
      <c r="I8">
        <f>AVERAGE(FranPerez!J:J)</f>
        <v>5.6741276249999997</v>
      </c>
      <c r="J8">
        <f>AVERAGE(FranPerez!K:K)</f>
        <v>0</v>
      </c>
      <c r="K8">
        <v>0</v>
      </c>
    </row>
    <row r="9" spans="1:11" x14ac:dyDescent="0.3">
      <c r="A9" s="3" t="s">
        <v>28</v>
      </c>
      <c r="B9">
        <f>AVERAGE(JoaquinAguilar!C:C)</f>
        <v>1.407248005</v>
      </c>
      <c r="C9">
        <f>AVERAGE(JoaquinAguilar!D:D)</f>
        <v>0.94562033500000009</v>
      </c>
      <c r="D9">
        <f>AVERAGE(JoaquinAguilar!E:E)</f>
        <v>3.7346885500000004</v>
      </c>
      <c r="E9">
        <f>AVERAGE(JoaquinAguilar!F:F)</f>
        <v>10.886054800000002</v>
      </c>
      <c r="F9">
        <f>AVERAGE(JoaquinAguilar!G:G)</f>
        <v>0.42304297499999999</v>
      </c>
      <c r="G9">
        <f>AVERAGE(JoaquinAguilar!H:H)</f>
        <v>4.3709587350000003</v>
      </c>
      <c r="H9">
        <f>AVERAGE(JoaquinAguilar!I:I)</f>
        <v>17.825275449999999</v>
      </c>
      <c r="I9">
        <f>AVERAGE(JoaquinAguilar!J:J)</f>
        <v>10.38987025</v>
      </c>
      <c r="J9">
        <f>AVERAGE(JoaquinAguilar!K:K)</f>
        <v>0.1</v>
      </c>
      <c r="K9">
        <v>0</v>
      </c>
    </row>
    <row r="10" spans="1:11" x14ac:dyDescent="0.3">
      <c r="A10" s="3" t="s">
        <v>29</v>
      </c>
      <c r="B10">
        <f>AVERAGE(LourdesArtigas!C:C)</f>
        <v>1.6733598457142858</v>
      </c>
      <c r="C10">
        <f>AVERAGE(LourdesArtigas!D:D)</f>
        <v>0.95668367714285718</v>
      </c>
      <c r="D10">
        <f>AVERAGE(LourdesArtigas!E:E)</f>
        <v>2.2159573828571433</v>
      </c>
      <c r="E10">
        <f>AVERAGE(LourdesArtigas!F:F)</f>
        <v>12.156541314285713</v>
      </c>
      <c r="F10">
        <f>AVERAGE(LourdesArtigas!G:G)</f>
        <v>0.22910318857142856</v>
      </c>
      <c r="G10">
        <f>AVERAGE(LourdesArtigas!H:H)</f>
        <v>4.5951786114285706</v>
      </c>
      <c r="H10">
        <f>AVERAGE(LourdesArtigas!I:I)</f>
        <v>19.223892171428574</v>
      </c>
      <c r="I10">
        <f>AVERAGE(LourdesArtigas!J:J)</f>
        <v>7.4992608285714288</v>
      </c>
      <c r="J10">
        <f>AVERAGE(LourdesArtigas!K:K)</f>
        <v>0.22857142857142856</v>
      </c>
      <c r="K10">
        <v>0</v>
      </c>
    </row>
    <row r="11" spans="1:11" x14ac:dyDescent="0.3">
      <c r="A11" s="3" t="s">
        <v>30</v>
      </c>
      <c r="B11">
        <f>AVERAGE(Pantrucas!C:C)</f>
        <v>0.73228596363636356</v>
      </c>
      <c r="C11">
        <f>AVERAGE(Pantrucas!D:D)</f>
        <v>0.89374631818181816</v>
      </c>
      <c r="D11">
        <f>AVERAGE(Pantrucas!E:E)</f>
        <v>2.7046815454545454</v>
      </c>
      <c r="E11">
        <f>AVERAGE(Pantrucas!F:F)</f>
        <v>11.003909636363638</v>
      </c>
      <c r="F11">
        <f>AVERAGE(Pantrucas!G:G)</f>
        <v>0.19324323545454547</v>
      </c>
      <c r="G11">
        <f>AVERAGE(Pantrucas!H:H)</f>
        <v>3.8554848909090906</v>
      </c>
      <c r="H11">
        <f>AVERAGE(Pantrucas!I:I)</f>
        <v>9.5620521818181814</v>
      </c>
      <c r="I11">
        <f>AVERAGE(Pantrucas!J:J)</f>
        <v>3.8677872727272726</v>
      </c>
      <c r="J11">
        <f>AVERAGE(Pantrucas!K:K)</f>
        <v>9.0909090909090912E-2</v>
      </c>
      <c r="K11">
        <v>0</v>
      </c>
    </row>
    <row r="12" spans="1:11" x14ac:dyDescent="0.3">
      <c r="A12" s="3" t="s">
        <v>31</v>
      </c>
      <c r="B12">
        <f>AVERAGE(Sepumae!C:C)</f>
        <v>1.58639525</v>
      </c>
      <c r="C12">
        <f>AVERAGE(Sepumae!D:D)</f>
        <v>0.9946172875</v>
      </c>
      <c r="D12">
        <f>AVERAGE(Sepumae!E:E)</f>
        <v>2.1033992499999998</v>
      </c>
      <c r="E12">
        <f>AVERAGE(Sepumae!F:F)</f>
        <v>9.4586568749999991</v>
      </c>
      <c r="F12">
        <f>AVERAGE(Sepumae!G:G)</f>
        <v>0.24674089999999999</v>
      </c>
      <c r="G12">
        <f>AVERAGE(Sepumae!H:H)</f>
        <v>2.8016785000000004</v>
      </c>
      <c r="H12">
        <f>AVERAGE(Sepumae!I:I)</f>
        <v>18.151036249999997</v>
      </c>
      <c r="I12">
        <f>AVERAGE(Sepumae!J:J)</f>
        <v>8.1142766250000005</v>
      </c>
      <c r="J12">
        <f>AVERAGE(Sepumae!K:K)</f>
        <v>0</v>
      </c>
      <c r="K12">
        <v>0</v>
      </c>
    </row>
    <row r="13" spans="1:11" x14ac:dyDescent="0.3">
      <c r="A13" s="3" t="s">
        <v>32</v>
      </c>
      <c r="B13">
        <f>AVERAGE(VicenteFigueroa!C:C)</f>
        <v>1.3722991375</v>
      </c>
      <c r="C13">
        <f>AVERAGE(VicenteFigueroa!D:D)</f>
        <v>0.98020623750000002</v>
      </c>
      <c r="D13">
        <f>AVERAGE(VicenteFigueroa!E:E)</f>
        <v>2.0403594999999997</v>
      </c>
      <c r="E13">
        <f>AVERAGE(VicenteFigueroa!F:F)</f>
        <v>9.465847124999998</v>
      </c>
      <c r="F13">
        <f>AVERAGE(VicenteFigueroa!G:G)</f>
        <v>0.23976357500000001</v>
      </c>
      <c r="G13">
        <f>AVERAGE(VicenteFigueroa!H:H)</f>
        <v>2.8525101500000001</v>
      </c>
      <c r="H13">
        <f>AVERAGE(VicenteFigueroa!I:I)</f>
        <v>15.746423125000002</v>
      </c>
      <c r="I13">
        <f>AVERAGE(VicenteFigueroa!J:J)</f>
        <v>7.0466589999999991</v>
      </c>
      <c r="J13">
        <f>AVERAGE(VicenteFigueroa!K:K)</f>
        <v>0</v>
      </c>
      <c r="K13">
        <v>0</v>
      </c>
    </row>
    <row r="14" spans="1:11" x14ac:dyDescent="0.3">
      <c r="A14" s="3" t="s">
        <v>33</v>
      </c>
      <c r="B14">
        <f>AVERAGE(VicenteHernandez!C:C)</f>
        <v>1.5530756500000003</v>
      </c>
      <c r="C14">
        <f>AVERAGE(VicenteHernandez!D:D)</f>
        <v>0.94442125909090902</v>
      </c>
      <c r="D14">
        <f>AVERAGE(VicenteHernandez!E:E)</f>
        <v>2.2223328636363635</v>
      </c>
      <c r="E14">
        <f>AVERAGE(VicenteHernandez!F:F)</f>
        <v>9.1971850909090893</v>
      </c>
      <c r="F14">
        <f>AVERAGE(VicenteHernandez!G:G)</f>
        <v>0.34632713636363638</v>
      </c>
      <c r="G14">
        <f>AVERAGE(VicenteHernandez!H:H)</f>
        <v>6.5448684272727267</v>
      </c>
      <c r="H14">
        <f>AVERAGE(VicenteHernandez!I:I)</f>
        <v>19.475952954545455</v>
      </c>
      <c r="I14">
        <f>AVERAGE(VicenteHernandez!J:J)</f>
        <v>11.178953363636365</v>
      </c>
      <c r="J14">
        <f>AVERAGE(VicenteHernandez!K:K)</f>
        <v>0.18181818181818182</v>
      </c>
      <c r="K14">
        <v>0</v>
      </c>
    </row>
    <row r="15" spans="1:11" x14ac:dyDescent="0.3">
      <c r="A15" s="3" t="s">
        <v>34</v>
      </c>
      <c r="B15">
        <f>AVERAGE(VicenteLineros!C:C)</f>
        <v>1.8714409999999999</v>
      </c>
      <c r="C15">
        <f>AVERAGE(VicenteLineros!D:D)</f>
        <v>0.99460257500000004</v>
      </c>
      <c r="D15">
        <f>AVERAGE(VicenteLineros!E:E)</f>
        <v>1.9975855</v>
      </c>
      <c r="E15">
        <f>AVERAGE(VicenteLineros!F:F)</f>
        <v>9.3683814999999999</v>
      </c>
      <c r="F15">
        <f>AVERAGE(VicenteLineros!G:G)</f>
        <v>0.31523053749999996</v>
      </c>
      <c r="G15">
        <f>AVERAGE(VicenteLineros!H:H)</f>
        <v>2.6512726999999998</v>
      </c>
      <c r="H15">
        <f>AVERAGE(VicenteLineros!I:I)</f>
        <v>22.509406250000001</v>
      </c>
      <c r="I15">
        <f>AVERAGE(VicenteLineros!J:J)</f>
        <v>12.068806875</v>
      </c>
      <c r="J15">
        <f>AVERAGE(VicenteLineros!K:K)</f>
        <v>0</v>
      </c>
      <c r="K15">
        <v>0</v>
      </c>
    </row>
    <row r="16" spans="1:11" x14ac:dyDescent="0.3">
      <c r="A16" s="3" t="s">
        <v>35</v>
      </c>
      <c r="B16">
        <f>AVERAGE(yoelchupa!C:C)</f>
        <v>1.5613059499999999</v>
      </c>
      <c r="C16">
        <f>AVERAGE(yoelchupa!D:D)</f>
        <v>1</v>
      </c>
      <c r="D16">
        <f>AVERAGE(yoelchupa!E:E)</f>
        <v>2.2980433749999998</v>
      </c>
      <c r="E16">
        <f>AVERAGE(yoelchupa!F:F)</f>
        <v>9.7532286249999984</v>
      </c>
      <c r="F16">
        <f>AVERAGE(yoelchupa!G:G)</f>
        <v>0.23672656250000002</v>
      </c>
      <c r="G16">
        <f>AVERAGE(yoelchupa!H:H)</f>
        <v>1.8900553625000001</v>
      </c>
      <c r="H16">
        <f>AVERAGE(yoelchupa!I:I)</f>
        <v>16.561720000000001</v>
      </c>
      <c r="I16">
        <f>AVERAGE(yoelchupa!J:J)</f>
        <v>5.1326749999999999</v>
      </c>
      <c r="J16">
        <f>AVERAGE(yoelchupa!K:K)</f>
        <v>0</v>
      </c>
      <c r="K16">
        <v>0</v>
      </c>
    </row>
    <row r="18" spans="1:10" x14ac:dyDescent="0.3">
      <c r="A18" s="4" t="s">
        <v>36</v>
      </c>
      <c r="B18" s="8">
        <f>_xlfn.PERCENTILE.EXC(B2:B16,0.5)</f>
        <v>1.557884225</v>
      </c>
      <c r="C18" s="8">
        <f t="shared" ref="C18:J18" si="0">_xlfn.PERCENTILE.EXC(C2:C16,0.5)</f>
        <v>0.98740440625000003</v>
      </c>
      <c r="D18" s="8">
        <f t="shared" si="0"/>
        <v>2.2419854943181816</v>
      </c>
      <c r="E18" s="8">
        <f t="shared" si="0"/>
        <v>9.6095378749999973</v>
      </c>
      <c r="F18" s="8">
        <f t="shared" si="0"/>
        <v>0.30102907291666658</v>
      </c>
      <c r="G18" s="8">
        <f t="shared" si="0"/>
        <v>3.2101012299999998</v>
      </c>
      <c r="H18" s="8">
        <f t="shared" si="0"/>
        <v>17.854379224999999</v>
      </c>
      <c r="I18" s="8">
        <f t="shared" si="0"/>
        <v>8.3506582708333337</v>
      </c>
      <c r="J18" s="8">
        <f t="shared" si="0"/>
        <v>4.1666666666666664E-2</v>
      </c>
    </row>
    <row r="19" spans="1:10" x14ac:dyDescent="0.3">
      <c r="A19" s="5" t="s">
        <v>37</v>
      </c>
      <c r="B19" s="9">
        <f>_xlfn.PERCENTILE.EXC(B2:B16,0.75)</f>
        <v>1.6104253051785715</v>
      </c>
      <c r="C19" s="9">
        <f t="shared" ref="C19:J19" si="1">_xlfn.PERCENTILE.EXC(C2:C16,0.75)</f>
        <v>0.99918788375000001</v>
      </c>
      <c r="D19" s="9">
        <f t="shared" si="1"/>
        <v>3.0284164602272723</v>
      </c>
      <c r="E19" s="9">
        <f t="shared" si="1"/>
        <v>11.079607727272728</v>
      </c>
      <c r="F19" s="9">
        <f t="shared" si="1"/>
        <v>0.35212887348484845</v>
      </c>
      <c r="G19" s="9">
        <f t="shared" si="1"/>
        <v>4.6020193314880942</v>
      </c>
      <c r="H19" s="9">
        <f t="shared" si="1"/>
        <v>19.286907367207796</v>
      </c>
      <c r="I19" s="9">
        <f t="shared" si="1"/>
        <v>10.587141028409091</v>
      </c>
      <c r="J19" s="9">
        <f t="shared" si="1"/>
        <v>0.12045454545454545</v>
      </c>
    </row>
    <row r="20" spans="1:10" x14ac:dyDescent="0.3">
      <c r="A20" s="6" t="s">
        <v>38</v>
      </c>
      <c r="B20" s="7">
        <f>_xlfn.PERCENTILE.EXC(B2:B16,0.9)</f>
        <v>1.7978116499999999</v>
      </c>
      <c r="C20" s="7">
        <f t="shared" ref="C20:J20" si="2">_xlfn.PERCENTILE.EXC(C2:C16,0.9)</f>
        <v>1</v>
      </c>
      <c r="D20" s="7">
        <f t="shared" si="2"/>
        <v>3.9780592750000001</v>
      </c>
      <c r="E20" s="7">
        <f t="shared" si="2"/>
        <v>12.347690532142856</v>
      </c>
      <c r="F20" s="7">
        <f t="shared" si="2"/>
        <v>0.43044706874999994</v>
      </c>
      <c r="G20" s="7">
        <f t="shared" si="2"/>
        <v>6.022218228787878</v>
      </c>
      <c r="H20" s="7">
        <f t="shared" si="2"/>
        <v>22.537282625000003</v>
      </c>
      <c r="I20" s="7">
        <f t="shared" si="2"/>
        <v>12.984577187500001</v>
      </c>
      <c r="J20" s="7">
        <f t="shared" si="2"/>
        <v>0.22034632034632035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AlexVargas</vt:lpstr>
      <vt:lpstr>AntoFlores</vt:lpstr>
      <vt:lpstr>BenjaCarrasco</vt:lpstr>
      <vt:lpstr>CamilaCarrascoBaier</vt:lpstr>
      <vt:lpstr>CataAguilar</vt:lpstr>
      <vt:lpstr>DiegoContreras</vt:lpstr>
      <vt:lpstr>FranPerez</vt:lpstr>
      <vt:lpstr>JoaquinAguilar</vt:lpstr>
      <vt:lpstr>LourdesArtigas</vt:lpstr>
      <vt:lpstr>Pantrucas</vt:lpstr>
      <vt:lpstr>Sepumae</vt:lpstr>
      <vt:lpstr>VicenteFigueroa</vt:lpstr>
      <vt:lpstr>VicenteHernandez</vt:lpstr>
      <vt:lpstr>VicenteLineros</vt:lpstr>
      <vt:lpstr>yoelchupa</vt:lpstr>
      <vt:lpstr>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2026-02-17T00:03:14Z</dcterms:created>
  <dcterms:modified xsi:type="dcterms:W3CDTF">2026-02-17T10:30:34Z</dcterms:modified>
</cp:coreProperties>
</file>