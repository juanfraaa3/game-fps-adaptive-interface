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BF8EBBB2-0DD6-4A8E-BCD4-696EEC8D7733}" xr6:coauthVersionLast="47" xr6:coauthVersionMax="47" xr10:uidLastSave="{00000000-0000-0000-0000-000000000000}"/>
  <bookViews>
    <workbookView xWindow="-96" yWindow="-96" windowWidth="23232" windowHeight="13152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6" l="1"/>
  <c r="D20" i="16"/>
  <c r="E20" i="16"/>
  <c r="F20" i="16"/>
  <c r="G20" i="16"/>
  <c r="B20" i="16"/>
  <c r="C18" i="16"/>
  <c r="D18" i="16"/>
  <c r="E18" i="16"/>
  <c r="F18" i="16"/>
  <c r="G18" i="16"/>
  <c r="C19" i="16"/>
  <c r="D19" i="16"/>
  <c r="E19" i="16"/>
  <c r="F19" i="16"/>
  <c r="G19" i="16"/>
  <c r="B19" i="16"/>
  <c r="B18" i="16"/>
  <c r="C15" i="16"/>
  <c r="D15" i="16"/>
  <c r="E15" i="16"/>
  <c r="F15" i="16"/>
  <c r="G15" i="16"/>
  <c r="C14" i="16"/>
  <c r="D14" i="16"/>
  <c r="E14" i="16"/>
  <c r="F14" i="16"/>
  <c r="G14" i="16"/>
  <c r="C13" i="16"/>
  <c r="D13" i="16"/>
  <c r="E13" i="16"/>
  <c r="F13" i="16"/>
  <c r="G13" i="16"/>
  <c r="C12" i="16"/>
  <c r="D12" i="16"/>
  <c r="E12" i="16"/>
  <c r="F12" i="16"/>
  <c r="G12" i="16"/>
  <c r="C11" i="16"/>
  <c r="D11" i="16"/>
  <c r="E11" i="16"/>
  <c r="F11" i="16"/>
  <c r="G11" i="16"/>
  <c r="C10" i="16"/>
  <c r="D10" i="16"/>
  <c r="E10" i="16"/>
  <c r="F10" i="16"/>
  <c r="G10" i="16"/>
  <c r="C9" i="16"/>
  <c r="D9" i="16"/>
  <c r="E9" i="16"/>
  <c r="F9" i="16"/>
  <c r="G9" i="16"/>
  <c r="C8" i="16"/>
  <c r="D8" i="16"/>
  <c r="E8" i="16"/>
  <c r="F8" i="16"/>
  <c r="G8" i="16"/>
  <c r="C7" i="16"/>
  <c r="D7" i="16"/>
  <c r="E7" i="16"/>
  <c r="F7" i="16"/>
  <c r="G7" i="16"/>
  <c r="C6" i="16"/>
  <c r="D6" i="16"/>
  <c r="E6" i="16"/>
  <c r="F6" i="16"/>
  <c r="G6" i="16"/>
  <c r="C5" i="16"/>
  <c r="D5" i="16"/>
  <c r="E5" i="16"/>
  <c r="F5" i="16"/>
  <c r="G5" i="16"/>
  <c r="B15" i="16"/>
  <c r="B14" i="16"/>
  <c r="B13" i="16"/>
  <c r="B12" i="16"/>
  <c r="B11" i="16"/>
  <c r="B10" i="16"/>
  <c r="B9" i="16"/>
  <c r="B8" i="16"/>
  <c r="B7" i="16"/>
  <c r="B6" i="16"/>
  <c r="B5" i="16"/>
  <c r="C4" i="16"/>
  <c r="D4" i="16"/>
  <c r="E4" i="16"/>
  <c r="F4" i="16"/>
  <c r="G4" i="16"/>
  <c r="B4" i="16"/>
  <c r="C3" i="16"/>
  <c r="D3" i="16"/>
  <c r="E3" i="16"/>
  <c r="F3" i="16"/>
  <c r="G3" i="16"/>
  <c r="B3" i="16"/>
  <c r="D2" i="16"/>
  <c r="E2" i="16"/>
  <c r="F2" i="16"/>
  <c r="G2" i="16"/>
  <c r="C2" i="16"/>
  <c r="B2" i="16"/>
  <c r="D16" i="16"/>
  <c r="E16" i="16"/>
  <c r="F16" i="16"/>
  <c r="G16" i="16"/>
  <c r="C16" i="16"/>
  <c r="B16" i="16"/>
</calcChain>
</file>

<file path=xl/sharedStrings.xml><?xml version="1.0" encoding="utf-8"?>
<sst xmlns="http://schemas.openxmlformats.org/spreadsheetml/2006/main" count="661" uniqueCount="138">
  <si>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</si>
  <si>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</si>
  <si>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</si>
  <si>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</si>
  <si>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</si>
  <si>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</si>
  <si>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</si>
  <si>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</si>
  <si>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</si>
  <si>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JetpackSegment_19</t>
  </si>
  <si>
    <t>TargetAnchor1</t>
  </si>
  <si>
    <t>JetpackSegment_20</t>
  </si>
  <si>
    <t>TargetAnchor2</t>
  </si>
  <si>
    <t>JetpackSegment_21</t>
  </si>
  <si>
    <t>TargetAnchor3</t>
  </si>
  <si>
    <t>JetpackSegment_22</t>
  </si>
  <si>
    <t>TargetAnchor4</t>
  </si>
  <si>
    <t>JetpackSegment_23</t>
  </si>
  <si>
    <t>TargetAnchor5</t>
  </si>
  <si>
    <t>JetpackSegment_24</t>
  </si>
  <si>
    <t>TargetAnchor6</t>
  </si>
  <si>
    <t>JetpackSegment_25</t>
  </si>
  <si>
    <t>TargetAnchor7</t>
  </si>
  <si>
    <t>JetpackSegment_26</t>
  </si>
  <si>
    <t>TargetAnchor8</t>
  </si>
  <si>
    <t>JetpackSegment_41</t>
  </si>
  <si>
    <t>JetpackSegment_42</t>
  </si>
  <si>
    <t>JetpackSegment_43</t>
  </si>
  <si>
    <t>JetpackSegment_44</t>
  </si>
  <si>
    <t>JetpackSegment_45</t>
  </si>
  <si>
    <t>JetpackSegment_46</t>
  </si>
  <si>
    <t>JetpackSegment_47</t>
  </si>
  <si>
    <t>JetpackSegment_48</t>
  </si>
  <si>
    <t>JetpackSegment_27</t>
  </si>
  <si>
    <t>JetpackSegment_28</t>
  </si>
  <si>
    <t>JetpackSegment_29</t>
  </si>
  <si>
    <t>JetpackSegment_30</t>
  </si>
  <si>
    <t>JetpackSegment_31</t>
  </si>
  <si>
    <t>JetpackSegment_32</t>
  </si>
  <si>
    <t>JetpackSegment_33</t>
  </si>
  <si>
    <t>JetpackSegment_34</t>
  </si>
  <si>
    <t>JetpackSegment_35</t>
  </si>
  <si>
    <t>JetpackSegment_36</t>
  </si>
  <si>
    <t>JetpackSegment_37</t>
  </si>
  <si>
    <t>JetpackSegment_38</t>
  </si>
  <si>
    <t>JetpackSegment_39</t>
  </si>
  <si>
    <t>JetpackSegment_40</t>
  </si>
  <si>
    <t>JetpackSegment_49</t>
  </si>
  <si>
    <t>JetpackSegment_50</t>
  </si>
  <si>
    <t>JetpackSegment_51</t>
  </si>
  <si>
    <t>JetpackSegment_52</t>
  </si>
  <si>
    <t>JetpackSegment_53</t>
  </si>
  <si>
    <t>JetpackSegment_54</t>
  </si>
  <si>
    <t>JetpackSegment_55</t>
  </si>
  <si>
    <t>JetpackSegment_56</t>
  </si>
  <si>
    <t>JetpackSegment_57</t>
  </si>
  <si>
    <t>JetpackSegment_64</t>
  </si>
  <si>
    <t>JetpackSegment_65</t>
  </si>
  <si>
    <t>JetpackSegment_66</t>
  </si>
  <si>
    <t>JetpackSegment_67</t>
  </si>
  <si>
    <t>JetpackSegment_69</t>
  </si>
  <si>
    <t>JetpackSegment_70</t>
  </si>
  <si>
    <t>JetpackSegment_71</t>
  </si>
  <si>
    <t>JetpackSegment_73</t>
  </si>
  <si>
    <t>JetpackSegment_74</t>
  </si>
  <si>
    <t>JetpackSegment_75</t>
  </si>
  <si>
    <t>JetpackSegment_76</t>
  </si>
  <si>
    <t>JetpackSegment_77</t>
  </si>
  <si>
    <t>JetpackSegment_78</t>
  </si>
  <si>
    <t>JetpackSegment_79</t>
  </si>
  <si>
    <t>JetpackSegment_80</t>
  </si>
  <si>
    <t>JetpackSegment_81</t>
  </si>
  <si>
    <t>JetpackSegment_82</t>
  </si>
  <si>
    <t>JetpackSegment_83</t>
  </si>
  <si>
    <t>JetpackSegment_84</t>
  </si>
  <si>
    <t>JetpackSegment_85</t>
  </si>
  <si>
    <t>JetpackSegment_87</t>
  </si>
  <si>
    <t>JetpackSegment_88</t>
  </si>
  <si>
    <t>JetpackSegment_89</t>
  </si>
  <si>
    <t>JetpackSegment_90</t>
  </si>
  <si>
    <t>JetpackSegment_91</t>
  </si>
  <si>
    <t>JetpackSegment_92</t>
  </si>
  <si>
    <t>JetpackSegment_93</t>
  </si>
  <si>
    <t>JetpackSegment_94</t>
  </si>
  <si>
    <t>JetpackSegment_95</t>
  </si>
  <si>
    <t>JetpackSegment_96</t>
  </si>
  <si>
    <t>JetpackSegment_97</t>
  </si>
  <si>
    <t>JetpackSegment_98</t>
  </si>
  <si>
    <t>JetpackSegment_99</t>
  </si>
  <si>
    <t>JetpackSegment_100</t>
  </si>
  <si>
    <t>JetpackSegment_101</t>
  </si>
  <si>
    <t>JetpackSegment_102</t>
  </si>
  <si>
    <t>JetpackSegment_103</t>
  </si>
  <si>
    <t>JetpackSegment_104</t>
  </si>
  <si>
    <t>JetpackSegment_105</t>
  </si>
  <si>
    <t>JetpackSegment_106</t>
  </si>
  <si>
    <t>JetpackSegment_107</t>
  </si>
  <si>
    <t>JetpackSegment_108</t>
  </si>
  <si>
    <t>JetpackSegment_109</t>
  </si>
  <si>
    <t>JetpackSegment_110</t>
  </si>
  <si>
    <t>JetpackSegment_111</t>
  </si>
  <si>
    <t>JetpackSegment_112</t>
  </si>
  <si>
    <t>JetpackSegment_113</t>
  </si>
  <si>
    <t>JetpackSegment_114</t>
  </si>
  <si>
    <t>JetpackSegment_115</t>
  </si>
  <si>
    <t>JetpackSegment_116</t>
  </si>
  <si>
    <t>JetpackSegment_117</t>
  </si>
  <si>
    <t>JetpackSegment_58</t>
  </si>
  <si>
    <t>JetpackSegment_59</t>
  </si>
  <si>
    <t>JetpackSegment_60</t>
  </si>
  <si>
    <t>JetpackSegment_61</t>
  </si>
  <si>
    <t>JetpackSegment_62</t>
  </si>
  <si>
    <t>JetpackSegment_63</t>
  </si>
  <si>
    <t>JetpackSegment_14</t>
  </si>
  <si>
    <t>JetpackSegment_15</t>
  </si>
  <si>
    <t>JetpackSegment_16</t>
  </si>
  <si>
    <t>JetpackSegment_17</t>
  </si>
  <si>
    <t>JetpackSegment_18</t>
  </si>
  <si>
    <t>Jugador</t>
  </si>
  <si>
    <t>Jug1</t>
  </si>
  <si>
    <t>Jug2</t>
  </si>
  <si>
    <t>Jug15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</si>
  <si>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</si>
  <si>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</si>
  <si>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</si>
  <si>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</si>
  <si>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</si>
  <si>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</si>
  <si>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</si>
  <si>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</si>
  <si>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</si>
  <si>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</si>
  <si>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</si>
  <si>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</si>
  <si>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Percentil75 (activacion)</t>
  </si>
  <si>
    <t>Percentil50 (comun)</t>
  </si>
  <si>
    <t>Percentil90 (critico)</t>
  </si>
  <si>
    <t>AbandonoPilar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</si>
</sst>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vertical="center" wrapText="1"/>
    </xf>
    <xf numFmtId="0" fontId="0" fillId="4" borderId="0" xfId="0" applyFill="1"/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13" sqref="C1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9</v>
      </c>
      <c r="C2">
        <v>1.1064309999999999</v>
      </c>
      <c r="D2">
        <v>33.547820000000002</v>
      </c>
      <c r="E2">
        <v>0.82706619999999997</v>
      </c>
      <c r="F2">
        <v>0.7475079</v>
      </c>
      <c r="G2">
        <v>0</v>
      </c>
      <c r="H2">
        <v>0</v>
      </c>
      <c r="I2" t="s">
        <v>10</v>
      </c>
    </row>
    <row r="3" spans="1:9" x14ac:dyDescent="0.3">
      <c r="A3">
        <v>5</v>
      </c>
      <c r="B3" t="s">
        <v>11</v>
      </c>
      <c r="C3">
        <v>1.3463560000000001</v>
      </c>
      <c r="D3">
        <v>34.389699999999998</v>
      </c>
      <c r="E3">
        <v>0.84912710000000002</v>
      </c>
      <c r="F3">
        <v>0.6306853</v>
      </c>
      <c r="G3">
        <v>0</v>
      </c>
      <c r="H3">
        <v>0</v>
      </c>
      <c r="I3" t="s">
        <v>12</v>
      </c>
    </row>
    <row r="4" spans="1:9" x14ac:dyDescent="0.3">
      <c r="A4">
        <v>5</v>
      </c>
      <c r="B4" t="s">
        <v>13</v>
      </c>
      <c r="C4">
        <v>1.3824110000000001</v>
      </c>
      <c r="D4">
        <v>36.604599999999998</v>
      </c>
      <c r="E4">
        <v>0.97599360000000002</v>
      </c>
      <c r="F4">
        <v>0.70600839999999998</v>
      </c>
      <c r="G4">
        <v>0</v>
      </c>
      <c r="H4">
        <v>0</v>
      </c>
      <c r="I4" t="s">
        <v>14</v>
      </c>
    </row>
    <row r="5" spans="1:9" x14ac:dyDescent="0.3">
      <c r="A5">
        <v>5</v>
      </c>
      <c r="B5" t="s">
        <v>15</v>
      </c>
      <c r="C5">
        <v>1.8238490000000001</v>
      </c>
      <c r="D5">
        <v>31.60164</v>
      </c>
      <c r="E5">
        <v>1.0393619999999999</v>
      </c>
      <c r="F5">
        <v>0.56987299999999996</v>
      </c>
      <c r="G5">
        <v>0</v>
      </c>
      <c r="H5">
        <v>0</v>
      </c>
      <c r="I5" t="s">
        <v>16</v>
      </c>
    </row>
    <row r="6" spans="1:9" x14ac:dyDescent="0.3">
      <c r="A6">
        <v>5</v>
      </c>
      <c r="B6" t="s">
        <v>17</v>
      </c>
      <c r="C6">
        <v>1.5559959999999999</v>
      </c>
      <c r="D6">
        <v>26.561869999999999</v>
      </c>
      <c r="E6">
        <v>0.63547560000000003</v>
      </c>
      <c r="F6">
        <v>0.4084044</v>
      </c>
      <c r="G6">
        <v>0</v>
      </c>
      <c r="H6">
        <v>0</v>
      </c>
      <c r="I6" t="s">
        <v>18</v>
      </c>
    </row>
    <row r="7" spans="1:9" x14ac:dyDescent="0.3">
      <c r="A7">
        <v>5</v>
      </c>
      <c r="B7" t="s">
        <v>19</v>
      </c>
      <c r="C7">
        <v>2.0149309999999998</v>
      </c>
      <c r="D7">
        <v>32.719859999999997</v>
      </c>
      <c r="E7">
        <v>1.2336510000000001</v>
      </c>
      <c r="F7">
        <v>0.61225459999999998</v>
      </c>
      <c r="G7">
        <v>0</v>
      </c>
      <c r="H7">
        <v>0</v>
      </c>
      <c r="I7" t="s">
        <v>20</v>
      </c>
    </row>
    <row r="8" spans="1:9" x14ac:dyDescent="0.3">
      <c r="A8">
        <v>5</v>
      </c>
      <c r="B8" t="s">
        <v>21</v>
      </c>
      <c r="C8">
        <v>1.6649290000000001</v>
      </c>
      <c r="D8">
        <v>29.84252</v>
      </c>
      <c r="E8">
        <v>0.97989420000000005</v>
      </c>
      <c r="F8">
        <v>0.58855020000000002</v>
      </c>
      <c r="G8">
        <v>0</v>
      </c>
      <c r="H8">
        <v>0</v>
      </c>
      <c r="I8" t="s">
        <v>22</v>
      </c>
    </row>
    <row r="9" spans="1:9" x14ac:dyDescent="0.3">
      <c r="A9">
        <v>5</v>
      </c>
      <c r="B9" t="s">
        <v>23</v>
      </c>
      <c r="C9">
        <v>1.4227730000000001</v>
      </c>
      <c r="D9">
        <v>79.083939999999998</v>
      </c>
      <c r="E9">
        <v>1.4227730000000001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 t="s">
        <v>25</v>
      </c>
      <c r="C2">
        <v>1.0352479999999999</v>
      </c>
      <c r="D2">
        <v>12.660920000000001</v>
      </c>
      <c r="E2">
        <v>0</v>
      </c>
      <c r="F2">
        <v>0</v>
      </c>
      <c r="G2">
        <v>0</v>
      </c>
      <c r="H2">
        <v>0</v>
      </c>
      <c r="I2" t="s">
        <v>10</v>
      </c>
    </row>
    <row r="3" spans="1:9" x14ac:dyDescent="0.3">
      <c r="A3">
        <v>10</v>
      </c>
      <c r="B3" t="s">
        <v>26</v>
      </c>
      <c r="C3">
        <v>1.3192539999999999</v>
      </c>
      <c r="D3">
        <v>17.986139999999999</v>
      </c>
      <c r="E3">
        <v>0.29849229999999999</v>
      </c>
      <c r="F3">
        <v>0.2262584</v>
      </c>
      <c r="G3">
        <v>0</v>
      </c>
      <c r="H3">
        <v>0</v>
      </c>
      <c r="I3" t="s">
        <v>12</v>
      </c>
    </row>
    <row r="4" spans="1:9" x14ac:dyDescent="0.3">
      <c r="A4">
        <v>10</v>
      </c>
      <c r="B4" t="s">
        <v>27</v>
      </c>
      <c r="C4">
        <v>1.1021319999999999</v>
      </c>
      <c r="D4">
        <v>30.091830000000002</v>
      </c>
      <c r="E4">
        <v>0.48658590000000002</v>
      </c>
      <c r="F4">
        <v>0.44149509999999997</v>
      </c>
      <c r="G4">
        <v>0</v>
      </c>
      <c r="H4">
        <v>0</v>
      </c>
      <c r="I4" t="s">
        <v>14</v>
      </c>
    </row>
    <row r="5" spans="1:9" x14ac:dyDescent="0.3">
      <c r="A5">
        <v>10</v>
      </c>
      <c r="B5" t="s">
        <v>28</v>
      </c>
      <c r="C5">
        <v>1.888763</v>
      </c>
      <c r="D5">
        <v>35.33296</v>
      </c>
      <c r="E5">
        <v>1.113561</v>
      </c>
      <c r="F5">
        <v>0.58957170000000003</v>
      </c>
      <c r="G5">
        <v>0</v>
      </c>
      <c r="H5">
        <v>0</v>
      </c>
      <c r="I5" t="s">
        <v>16</v>
      </c>
    </row>
    <row r="6" spans="1:9" x14ac:dyDescent="0.3">
      <c r="A6">
        <v>10</v>
      </c>
      <c r="B6" t="s">
        <v>29</v>
      </c>
      <c r="C6">
        <v>1.7750010000000001</v>
      </c>
      <c r="D6">
        <v>30.33202</v>
      </c>
      <c r="E6">
        <v>0.73433119999999996</v>
      </c>
      <c r="F6">
        <v>0.41370750000000001</v>
      </c>
      <c r="G6">
        <v>0</v>
      </c>
      <c r="H6">
        <v>0</v>
      </c>
      <c r="I6" t="s">
        <v>18</v>
      </c>
    </row>
    <row r="7" spans="1:9" x14ac:dyDescent="0.3">
      <c r="A7">
        <v>10</v>
      </c>
      <c r="B7" t="s">
        <v>30</v>
      </c>
      <c r="C7">
        <v>1.8908670000000001</v>
      </c>
      <c r="D7">
        <v>23.89471</v>
      </c>
      <c r="E7">
        <v>0.5428809</v>
      </c>
      <c r="F7">
        <v>0.2871069</v>
      </c>
      <c r="G7">
        <v>0</v>
      </c>
      <c r="H7">
        <v>0</v>
      </c>
      <c r="I7" t="s">
        <v>20</v>
      </c>
    </row>
    <row r="8" spans="1:9" x14ac:dyDescent="0.3">
      <c r="A8">
        <v>10</v>
      </c>
      <c r="B8" t="s">
        <v>31</v>
      </c>
      <c r="C8">
        <v>1.6666129999999999</v>
      </c>
      <c r="D8">
        <v>33.98272</v>
      </c>
      <c r="E8">
        <v>0.72809080000000004</v>
      </c>
      <c r="F8">
        <v>0.43686849999999999</v>
      </c>
      <c r="G8">
        <v>0</v>
      </c>
      <c r="H8">
        <v>0</v>
      </c>
      <c r="I8" t="s">
        <v>22</v>
      </c>
    </row>
    <row r="9" spans="1:9" x14ac:dyDescent="0.3">
      <c r="A9">
        <v>10</v>
      </c>
      <c r="B9" t="s">
        <v>32</v>
      </c>
      <c r="C9">
        <v>2.037118</v>
      </c>
      <c r="D9">
        <v>75.795429999999996</v>
      </c>
      <c r="E9">
        <v>1.4186609999999999</v>
      </c>
      <c r="F9">
        <v>0.69640590000000002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6</v>
      </c>
      <c r="B2" t="s">
        <v>33</v>
      </c>
      <c r="C2">
        <v>1.1450659999999999</v>
      </c>
      <c r="D2">
        <v>29.017499999999998</v>
      </c>
      <c r="E2">
        <v>0.56120650000000005</v>
      </c>
      <c r="F2">
        <v>0.49010819999999999</v>
      </c>
      <c r="G2">
        <v>0</v>
      </c>
      <c r="H2">
        <v>0</v>
      </c>
      <c r="I2" t="s">
        <v>10</v>
      </c>
    </row>
    <row r="3" spans="1:9" x14ac:dyDescent="0.3">
      <c r="A3">
        <v>6</v>
      </c>
      <c r="B3" t="s">
        <v>34</v>
      </c>
      <c r="C3">
        <v>1.475886</v>
      </c>
      <c r="D3">
        <v>39.694209999999998</v>
      </c>
      <c r="E3">
        <v>0.91609099999999999</v>
      </c>
      <c r="F3">
        <v>0.62070570000000003</v>
      </c>
      <c r="G3">
        <v>0</v>
      </c>
      <c r="H3">
        <v>0</v>
      </c>
      <c r="I3" t="s">
        <v>12</v>
      </c>
    </row>
    <row r="4" spans="1:9" x14ac:dyDescent="0.3">
      <c r="A4">
        <v>6</v>
      </c>
      <c r="B4" t="s">
        <v>35</v>
      </c>
      <c r="C4">
        <v>1.141662</v>
      </c>
      <c r="D4">
        <v>30.12482</v>
      </c>
      <c r="E4">
        <v>0.51730869999999995</v>
      </c>
      <c r="F4">
        <v>0.45311879999999999</v>
      </c>
      <c r="G4">
        <v>0</v>
      </c>
      <c r="H4">
        <v>0</v>
      </c>
      <c r="I4" t="s">
        <v>14</v>
      </c>
    </row>
    <row r="5" spans="1:9" x14ac:dyDescent="0.3">
      <c r="A5">
        <v>6</v>
      </c>
      <c r="B5" t="s">
        <v>36</v>
      </c>
      <c r="C5">
        <v>2.4497499999999999</v>
      </c>
      <c r="D5">
        <v>56.474670000000003</v>
      </c>
      <c r="E5">
        <v>1.802208</v>
      </c>
      <c r="F5">
        <v>0.73567000000000005</v>
      </c>
      <c r="G5">
        <v>0</v>
      </c>
      <c r="H5">
        <v>1</v>
      </c>
      <c r="I5" t="s">
        <v>16</v>
      </c>
    </row>
    <row r="6" spans="1:9" x14ac:dyDescent="0.3">
      <c r="A6">
        <v>7</v>
      </c>
      <c r="B6" t="s">
        <v>37</v>
      </c>
      <c r="C6">
        <v>1.5916999999999999</v>
      </c>
      <c r="D6">
        <v>34.964860000000002</v>
      </c>
      <c r="E6">
        <v>0.90410919999999995</v>
      </c>
      <c r="F6">
        <v>0.56801500000000005</v>
      </c>
      <c r="G6">
        <v>0</v>
      </c>
      <c r="H6">
        <v>0</v>
      </c>
      <c r="I6" t="s">
        <v>10</v>
      </c>
    </row>
    <row r="7" spans="1:9" x14ac:dyDescent="0.3">
      <c r="A7">
        <v>7</v>
      </c>
      <c r="B7" t="s">
        <v>38</v>
      </c>
      <c r="C7">
        <v>0.86887429999999999</v>
      </c>
      <c r="D7">
        <v>25.530200000000001</v>
      </c>
      <c r="E7">
        <v>0.25727729999999999</v>
      </c>
      <c r="F7">
        <v>0.29610419999999998</v>
      </c>
      <c r="G7">
        <v>0</v>
      </c>
      <c r="H7">
        <v>0</v>
      </c>
      <c r="I7" t="s">
        <v>12</v>
      </c>
    </row>
    <row r="8" spans="1:9" x14ac:dyDescent="0.3">
      <c r="A8">
        <v>7</v>
      </c>
      <c r="B8" t="s">
        <v>39</v>
      </c>
      <c r="C8">
        <v>1.0251920000000001</v>
      </c>
      <c r="D8">
        <v>38.415970000000002</v>
      </c>
      <c r="E8">
        <v>0.69637139999999997</v>
      </c>
      <c r="F8">
        <v>0.67925919999999995</v>
      </c>
      <c r="G8">
        <v>0</v>
      </c>
      <c r="H8">
        <v>0</v>
      </c>
      <c r="I8" t="s">
        <v>14</v>
      </c>
    </row>
    <row r="9" spans="1:9" x14ac:dyDescent="0.3">
      <c r="A9">
        <v>7</v>
      </c>
      <c r="B9" t="s">
        <v>40</v>
      </c>
      <c r="C9">
        <v>1.5935889999999999</v>
      </c>
      <c r="D9">
        <v>35.377070000000003</v>
      </c>
      <c r="E9">
        <v>1.0364800000000001</v>
      </c>
      <c r="F9">
        <v>0.65040629999999999</v>
      </c>
      <c r="G9">
        <v>0</v>
      </c>
      <c r="H9">
        <v>0</v>
      </c>
      <c r="I9" t="s">
        <v>16</v>
      </c>
    </row>
    <row r="10" spans="1:9" x14ac:dyDescent="0.3">
      <c r="A10">
        <v>7</v>
      </c>
      <c r="B10" t="s">
        <v>41</v>
      </c>
      <c r="C10">
        <v>1.4550380000000001</v>
      </c>
      <c r="D10">
        <v>30.864979999999999</v>
      </c>
      <c r="E10">
        <v>0.8178166</v>
      </c>
      <c r="F10">
        <v>0.56205850000000002</v>
      </c>
      <c r="G10">
        <v>0</v>
      </c>
      <c r="H10">
        <v>0</v>
      </c>
      <c r="I10" t="s">
        <v>18</v>
      </c>
    </row>
    <row r="11" spans="1:9" x14ac:dyDescent="0.3">
      <c r="A11">
        <v>7</v>
      </c>
      <c r="B11" t="s">
        <v>42</v>
      </c>
      <c r="C11">
        <v>1.5089300000000001</v>
      </c>
      <c r="D11">
        <v>35.42895</v>
      </c>
      <c r="E11">
        <v>0.91933350000000003</v>
      </c>
      <c r="F11">
        <v>0.60926190000000002</v>
      </c>
      <c r="G11">
        <v>0</v>
      </c>
      <c r="H11">
        <v>0</v>
      </c>
      <c r="I11" t="s">
        <v>20</v>
      </c>
    </row>
    <row r="12" spans="1:9" x14ac:dyDescent="0.3">
      <c r="A12">
        <v>7</v>
      </c>
      <c r="B12" t="s">
        <v>43</v>
      </c>
      <c r="C12">
        <v>1.5901149999999999</v>
      </c>
      <c r="D12">
        <v>46.37529</v>
      </c>
      <c r="E12">
        <v>1.1576630000000001</v>
      </c>
      <c r="F12">
        <v>0.72803739999999995</v>
      </c>
      <c r="G12">
        <v>0</v>
      </c>
      <c r="H12">
        <v>0</v>
      </c>
      <c r="I12" t="s">
        <v>22</v>
      </c>
    </row>
    <row r="13" spans="1:9" x14ac:dyDescent="0.3">
      <c r="A13">
        <v>7</v>
      </c>
      <c r="B13" t="s">
        <v>44</v>
      </c>
      <c r="C13">
        <v>1.4797610000000001</v>
      </c>
      <c r="D13">
        <v>79.270340000000004</v>
      </c>
      <c r="E13">
        <v>1.4797610000000001</v>
      </c>
      <c r="F13">
        <v>1</v>
      </c>
      <c r="G13">
        <v>0</v>
      </c>
      <c r="H13">
        <v>0</v>
      </c>
      <c r="I13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</v>
      </c>
      <c r="B2" t="s">
        <v>21</v>
      </c>
      <c r="C2">
        <v>1.1162589999999999</v>
      </c>
      <c r="D2">
        <v>18.082920000000001</v>
      </c>
      <c r="E2">
        <v>0.22785369999999999</v>
      </c>
      <c r="F2">
        <v>0.20412250000000001</v>
      </c>
      <c r="G2">
        <v>0</v>
      </c>
      <c r="H2">
        <v>0</v>
      </c>
      <c r="I2" t="s">
        <v>10</v>
      </c>
    </row>
    <row r="3" spans="1:9" x14ac:dyDescent="0.3">
      <c r="A3">
        <v>8</v>
      </c>
      <c r="B3" t="s">
        <v>23</v>
      </c>
      <c r="C3">
        <v>1.476774</v>
      </c>
      <c r="D3">
        <v>31.724989999999998</v>
      </c>
      <c r="E3">
        <v>0.63917930000000001</v>
      </c>
      <c r="F3">
        <v>0.43282150000000003</v>
      </c>
      <c r="G3">
        <v>0</v>
      </c>
      <c r="H3">
        <v>0</v>
      </c>
      <c r="I3" t="s">
        <v>12</v>
      </c>
    </row>
    <row r="4" spans="1:9" x14ac:dyDescent="0.3">
      <c r="A4">
        <v>8</v>
      </c>
      <c r="B4" t="s">
        <v>33</v>
      </c>
      <c r="C4">
        <v>2.7157749999999998</v>
      </c>
      <c r="D4">
        <v>56.526040000000002</v>
      </c>
      <c r="E4">
        <v>1.4275979999999999</v>
      </c>
      <c r="F4">
        <v>0.52566869999999999</v>
      </c>
      <c r="G4">
        <v>0</v>
      </c>
      <c r="H4">
        <v>1</v>
      </c>
      <c r="I4" t="s">
        <v>14</v>
      </c>
    </row>
    <row r="5" spans="1:9" x14ac:dyDescent="0.3">
      <c r="A5">
        <v>9</v>
      </c>
      <c r="B5" t="s">
        <v>34</v>
      </c>
      <c r="C5">
        <v>1.3435269999999999</v>
      </c>
      <c r="D5">
        <v>29.791319999999999</v>
      </c>
      <c r="E5">
        <v>0.43260609999999999</v>
      </c>
      <c r="F5">
        <v>0.32199280000000002</v>
      </c>
      <c r="G5">
        <v>0</v>
      </c>
      <c r="H5">
        <v>0</v>
      </c>
      <c r="I5" t="s">
        <v>10</v>
      </c>
    </row>
    <row r="6" spans="1:9" x14ac:dyDescent="0.3">
      <c r="A6">
        <v>9</v>
      </c>
      <c r="B6" t="s">
        <v>35</v>
      </c>
      <c r="C6">
        <v>1.6342460000000001</v>
      </c>
      <c r="D6">
        <v>28.437799999999999</v>
      </c>
      <c r="E6">
        <v>0.4015956</v>
      </c>
      <c r="F6">
        <v>0.2457375</v>
      </c>
      <c r="G6">
        <v>0</v>
      </c>
      <c r="H6">
        <v>1</v>
      </c>
      <c r="I6" t="s">
        <v>12</v>
      </c>
    </row>
    <row r="7" spans="1:9" x14ac:dyDescent="0.3">
      <c r="A7">
        <v>10</v>
      </c>
      <c r="B7" t="s">
        <v>36</v>
      </c>
      <c r="C7">
        <v>1.0998429999999999</v>
      </c>
      <c r="D7">
        <v>14.437799999999999</v>
      </c>
      <c r="E7">
        <v>9.9783109999999994E-2</v>
      </c>
      <c r="F7">
        <v>9.0724840000000001E-2</v>
      </c>
      <c r="G7">
        <v>0</v>
      </c>
      <c r="H7">
        <v>0</v>
      </c>
      <c r="I7" t="s">
        <v>10</v>
      </c>
    </row>
    <row r="8" spans="1:9" x14ac:dyDescent="0.3">
      <c r="A8">
        <v>10</v>
      </c>
      <c r="B8" t="s">
        <v>37</v>
      </c>
      <c r="C8">
        <v>1.1653770000000001</v>
      </c>
      <c r="D8">
        <v>20.00159</v>
      </c>
      <c r="E8">
        <v>0.34215370000000001</v>
      </c>
      <c r="F8">
        <v>0.2935992</v>
      </c>
      <c r="G8">
        <v>0</v>
      </c>
      <c r="H8">
        <v>0</v>
      </c>
      <c r="I8" t="s">
        <v>12</v>
      </c>
    </row>
    <row r="9" spans="1:9" x14ac:dyDescent="0.3">
      <c r="A9">
        <v>10</v>
      </c>
      <c r="B9" t="s">
        <v>38</v>
      </c>
      <c r="C9">
        <v>1.7168019999999999</v>
      </c>
      <c r="D9">
        <v>56.44999</v>
      </c>
      <c r="E9">
        <v>1.054</v>
      </c>
      <c r="F9">
        <v>0.61393240000000004</v>
      </c>
      <c r="G9">
        <v>0</v>
      </c>
      <c r="H9">
        <v>1</v>
      </c>
      <c r="I9" t="s">
        <v>14</v>
      </c>
    </row>
    <row r="10" spans="1:9" x14ac:dyDescent="0.3">
      <c r="A10">
        <v>11</v>
      </c>
      <c r="B10" t="s">
        <v>39</v>
      </c>
      <c r="C10">
        <v>1.1157010000000001</v>
      </c>
      <c r="D10">
        <v>22.348880000000001</v>
      </c>
      <c r="E10">
        <v>0.25974999999999998</v>
      </c>
      <c r="F10">
        <v>0.2328132</v>
      </c>
      <c r="G10">
        <v>0</v>
      </c>
      <c r="H10">
        <v>0</v>
      </c>
      <c r="I10" t="s">
        <v>10</v>
      </c>
    </row>
    <row r="11" spans="1:9" x14ac:dyDescent="0.3">
      <c r="A11">
        <v>11</v>
      </c>
      <c r="B11" t="s">
        <v>40</v>
      </c>
      <c r="C11">
        <v>1.6813739999999999</v>
      </c>
      <c r="D11">
        <v>27.4453</v>
      </c>
      <c r="E11">
        <v>0.57198260000000001</v>
      </c>
      <c r="F11">
        <v>0.34018769999999998</v>
      </c>
      <c r="G11">
        <v>0</v>
      </c>
      <c r="H11">
        <v>0</v>
      </c>
      <c r="I11" t="s">
        <v>12</v>
      </c>
    </row>
    <row r="12" spans="1:9" x14ac:dyDescent="0.3">
      <c r="A12">
        <v>11</v>
      </c>
      <c r="B12" t="s">
        <v>41</v>
      </c>
      <c r="C12">
        <v>1.269129</v>
      </c>
      <c r="D12">
        <v>15.06921</v>
      </c>
      <c r="E12">
        <v>0</v>
      </c>
      <c r="F12">
        <v>0</v>
      </c>
      <c r="G12">
        <v>0</v>
      </c>
      <c r="H12">
        <v>0</v>
      </c>
      <c r="I12" t="s">
        <v>14</v>
      </c>
    </row>
    <row r="13" spans="1:9" x14ac:dyDescent="0.3">
      <c r="A13">
        <v>11</v>
      </c>
      <c r="B13" t="s">
        <v>42</v>
      </c>
      <c r="C13">
        <v>0.77749400000000002</v>
      </c>
      <c r="D13">
        <v>38.465739999999997</v>
      </c>
      <c r="E13">
        <v>0.77749400000000002</v>
      </c>
      <c r="F13">
        <v>1</v>
      </c>
      <c r="G13">
        <v>0</v>
      </c>
      <c r="H13">
        <v>0</v>
      </c>
      <c r="I13" t="s">
        <v>16</v>
      </c>
    </row>
    <row r="14" spans="1:9" x14ac:dyDescent="0.3">
      <c r="A14">
        <v>11</v>
      </c>
      <c r="B14" t="s">
        <v>43</v>
      </c>
      <c r="C14">
        <v>1.450601</v>
      </c>
      <c r="D14">
        <v>14.50041</v>
      </c>
      <c r="E14">
        <v>6.0336899999999999E-2</v>
      </c>
      <c r="F14">
        <v>4.159442E-2</v>
      </c>
      <c r="G14">
        <v>0</v>
      </c>
      <c r="H14">
        <v>0</v>
      </c>
      <c r="I14" t="s">
        <v>16</v>
      </c>
    </row>
    <row r="15" spans="1:9" x14ac:dyDescent="0.3">
      <c r="A15">
        <v>11</v>
      </c>
      <c r="B15" t="s">
        <v>44</v>
      </c>
      <c r="C15">
        <v>1.6098440000000001</v>
      </c>
      <c r="D15">
        <v>17.500070000000001</v>
      </c>
      <c r="E15">
        <v>0.38494440000000002</v>
      </c>
      <c r="F15">
        <v>0.2391191</v>
      </c>
      <c r="G15">
        <v>0</v>
      </c>
      <c r="H15">
        <v>0</v>
      </c>
      <c r="I15" t="s">
        <v>18</v>
      </c>
    </row>
    <row r="16" spans="1:9" x14ac:dyDescent="0.3">
      <c r="A16">
        <v>11</v>
      </c>
      <c r="B16" t="s">
        <v>45</v>
      </c>
      <c r="C16">
        <v>2.6234500000000001</v>
      </c>
      <c r="D16">
        <v>37.452970000000001</v>
      </c>
      <c r="E16">
        <v>0.81359380000000003</v>
      </c>
      <c r="F16">
        <v>0.3101236</v>
      </c>
      <c r="G16">
        <v>0</v>
      </c>
      <c r="H16">
        <v>1</v>
      </c>
      <c r="I16" t="s">
        <v>20</v>
      </c>
    </row>
    <row r="17" spans="1:9" x14ac:dyDescent="0.3">
      <c r="A17">
        <v>12</v>
      </c>
      <c r="B17" t="s">
        <v>46</v>
      </c>
      <c r="C17">
        <v>1.359294</v>
      </c>
      <c r="D17">
        <v>24.700340000000001</v>
      </c>
      <c r="E17">
        <v>0.4085009</v>
      </c>
      <c r="F17">
        <v>0.30052430000000002</v>
      </c>
      <c r="G17">
        <v>0</v>
      </c>
      <c r="H17">
        <v>0</v>
      </c>
      <c r="I17" t="s">
        <v>10</v>
      </c>
    </row>
    <row r="18" spans="1:9" x14ac:dyDescent="0.3">
      <c r="A18">
        <v>12</v>
      </c>
      <c r="B18" t="s">
        <v>25</v>
      </c>
      <c r="C18">
        <v>1.233965</v>
      </c>
      <c r="D18">
        <v>23.866810000000001</v>
      </c>
      <c r="E18">
        <v>0.37014069999999999</v>
      </c>
      <c r="F18">
        <v>0.29996050000000002</v>
      </c>
      <c r="G18">
        <v>0</v>
      </c>
      <c r="H18">
        <v>0</v>
      </c>
      <c r="I18" t="s">
        <v>12</v>
      </c>
    </row>
    <row r="19" spans="1:9" x14ac:dyDescent="0.3">
      <c r="A19">
        <v>12</v>
      </c>
      <c r="B19" t="s">
        <v>26</v>
      </c>
      <c r="C19">
        <v>0.88903589999999999</v>
      </c>
      <c r="D19">
        <v>16.060020000000002</v>
      </c>
      <c r="E19">
        <v>0</v>
      </c>
      <c r="F19">
        <v>0</v>
      </c>
      <c r="G19">
        <v>0</v>
      </c>
      <c r="H19">
        <v>0</v>
      </c>
      <c r="I19" t="s">
        <v>14</v>
      </c>
    </row>
    <row r="20" spans="1:9" x14ac:dyDescent="0.3">
      <c r="A20">
        <v>12</v>
      </c>
      <c r="B20" t="s">
        <v>27</v>
      </c>
      <c r="C20">
        <v>1.3743799999999999</v>
      </c>
      <c r="D20">
        <v>52.036909999999999</v>
      </c>
      <c r="E20">
        <v>1.3743799999999999</v>
      </c>
      <c r="F20">
        <v>1</v>
      </c>
      <c r="G20">
        <v>0</v>
      </c>
      <c r="H20">
        <v>1</v>
      </c>
      <c r="I20" t="s">
        <v>16</v>
      </c>
    </row>
    <row r="21" spans="1:9" x14ac:dyDescent="0.3">
      <c r="A21">
        <v>13</v>
      </c>
      <c r="B21" t="s">
        <v>28</v>
      </c>
      <c r="C21">
        <v>1.452291</v>
      </c>
      <c r="D21">
        <v>32.161630000000002</v>
      </c>
      <c r="E21">
        <v>0.55749709999999997</v>
      </c>
      <c r="F21">
        <v>0.3838742</v>
      </c>
      <c r="G21">
        <v>0</v>
      </c>
      <c r="H21">
        <v>0</v>
      </c>
      <c r="I21" t="s">
        <v>10</v>
      </c>
    </row>
    <row r="22" spans="1:9" x14ac:dyDescent="0.3">
      <c r="A22">
        <v>13</v>
      </c>
      <c r="B22" t="s">
        <v>29</v>
      </c>
      <c r="C22">
        <v>1.6100099999999999</v>
      </c>
      <c r="D22">
        <v>36.566139999999997</v>
      </c>
      <c r="E22">
        <v>0.62909000000000004</v>
      </c>
      <c r="F22">
        <v>0.3907368</v>
      </c>
      <c r="G22">
        <v>0</v>
      </c>
      <c r="H22">
        <v>0</v>
      </c>
      <c r="I22" t="s">
        <v>12</v>
      </c>
    </row>
    <row r="23" spans="1:9" x14ac:dyDescent="0.3">
      <c r="A23">
        <v>13</v>
      </c>
      <c r="B23" t="s">
        <v>30</v>
      </c>
      <c r="C23">
        <v>1.3553999999999999</v>
      </c>
      <c r="D23">
        <v>16.80857</v>
      </c>
      <c r="E23">
        <v>0.28373320000000002</v>
      </c>
      <c r="F23">
        <v>0.2093354</v>
      </c>
      <c r="G23">
        <v>0</v>
      </c>
      <c r="H23">
        <v>0</v>
      </c>
      <c r="I23" t="s">
        <v>14</v>
      </c>
    </row>
    <row r="24" spans="1:9" x14ac:dyDescent="0.3">
      <c r="A24">
        <v>13</v>
      </c>
      <c r="B24" t="s">
        <v>31</v>
      </c>
      <c r="C24">
        <v>1.4915449999999999</v>
      </c>
      <c r="D24">
        <v>25.916440000000001</v>
      </c>
      <c r="E24">
        <v>0.37378400000000001</v>
      </c>
      <c r="F24">
        <v>0.25060199999999999</v>
      </c>
      <c r="G24">
        <v>0</v>
      </c>
      <c r="H24">
        <v>1</v>
      </c>
      <c r="I24" t="s">
        <v>16</v>
      </c>
    </row>
    <row r="25" spans="1:9" x14ac:dyDescent="0.3">
      <c r="A25">
        <v>14</v>
      </c>
      <c r="B25" t="s">
        <v>32</v>
      </c>
      <c r="C25">
        <v>1.0599289999999999</v>
      </c>
      <c r="D25">
        <v>21.868289999999998</v>
      </c>
      <c r="E25">
        <v>0.3295923</v>
      </c>
      <c r="F25">
        <v>0.31095689999999998</v>
      </c>
      <c r="G25">
        <v>0</v>
      </c>
      <c r="H25">
        <v>0</v>
      </c>
      <c r="I25" t="s">
        <v>10</v>
      </c>
    </row>
    <row r="26" spans="1:9" x14ac:dyDescent="0.3">
      <c r="A26">
        <v>14</v>
      </c>
      <c r="B26" t="s">
        <v>47</v>
      </c>
      <c r="C26">
        <v>3.2998470000000002</v>
      </c>
      <c r="D26">
        <v>82.106859999999998</v>
      </c>
      <c r="E26">
        <v>2.4393820000000002</v>
      </c>
      <c r="F26">
        <v>0.73924100000000004</v>
      </c>
      <c r="G26">
        <v>0</v>
      </c>
      <c r="H26">
        <v>1</v>
      </c>
      <c r="I26" t="s">
        <v>12</v>
      </c>
    </row>
    <row r="27" spans="1:9" x14ac:dyDescent="0.3">
      <c r="A27">
        <v>15</v>
      </c>
      <c r="B27" t="s">
        <v>48</v>
      </c>
      <c r="C27">
        <v>1.5820449999999999</v>
      </c>
      <c r="D27">
        <v>35.916910000000001</v>
      </c>
      <c r="E27">
        <v>0.62349670000000001</v>
      </c>
      <c r="F27">
        <v>0.39410790000000001</v>
      </c>
      <c r="G27">
        <v>0</v>
      </c>
      <c r="H27">
        <v>0</v>
      </c>
      <c r="I27" t="s">
        <v>10</v>
      </c>
    </row>
    <row r="28" spans="1:9" x14ac:dyDescent="0.3">
      <c r="A28">
        <v>15</v>
      </c>
      <c r="B28" t="s">
        <v>49</v>
      </c>
      <c r="C28">
        <v>1.241503</v>
      </c>
      <c r="D28">
        <v>34.486559999999997</v>
      </c>
      <c r="E28">
        <v>0.75721879999999997</v>
      </c>
      <c r="F28">
        <v>0.60992100000000005</v>
      </c>
      <c r="G28">
        <v>0</v>
      </c>
      <c r="H28">
        <v>0</v>
      </c>
      <c r="I28" t="s">
        <v>12</v>
      </c>
    </row>
    <row r="29" spans="1:9" x14ac:dyDescent="0.3">
      <c r="A29">
        <v>15</v>
      </c>
      <c r="B29" t="s">
        <v>50</v>
      </c>
      <c r="C29">
        <v>1.223654</v>
      </c>
      <c r="D29">
        <v>18.985800000000001</v>
      </c>
      <c r="E29">
        <v>0.2951261</v>
      </c>
      <c r="F29">
        <v>0.24118429999999999</v>
      </c>
      <c r="G29">
        <v>0</v>
      </c>
      <c r="H29">
        <v>0</v>
      </c>
      <c r="I29" t="s">
        <v>14</v>
      </c>
    </row>
    <row r="30" spans="1:9" x14ac:dyDescent="0.3">
      <c r="A30">
        <v>15</v>
      </c>
      <c r="B30" t="s">
        <v>51</v>
      </c>
      <c r="C30">
        <v>1.6611659999999999</v>
      </c>
      <c r="D30">
        <v>18.279730000000001</v>
      </c>
      <c r="E30">
        <v>0.21730940000000001</v>
      </c>
      <c r="F30">
        <v>0.1308174</v>
      </c>
      <c r="G30">
        <v>0</v>
      </c>
      <c r="H30">
        <v>0</v>
      </c>
      <c r="I30" t="s">
        <v>16</v>
      </c>
    </row>
    <row r="31" spans="1:9" x14ac:dyDescent="0.3">
      <c r="A31">
        <v>15</v>
      </c>
      <c r="B31" t="s">
        <v>52</v>
      </c>
      <c r="C31">
        <v>1.406733</v>
      </c>
      <c r="D31">
        <v>13.92531</v>
      </c>
      <c r="E31">
        <v>0</v>
      </c>
      <c r="F31">
        <v>0</v>
      </c>
      <c r="G31">
        <v>0</v>
      </c>
      <c r="H31">
        <v>0</v>
      </c>
      <c r="I31" t="s">
        <v>18</v>
      </c>
    </row>
    <row r="32" spans="1:9" x14ac:dyDescent="0.3">
      <c r="A32">
        <v>15</v>
      </c>
      <c r="B32" t="s">
        <v>53</v>
      </c>
      <c r="C32">
        <v>2.1940659999999998</v>
      </c>
      <c r="D32">
        <v>34.111510000000003</v>
      </c>
      <c r="E32">
        <v>0.77907320000000002</v>
      </c>
      <c r="F32">
        <v>0.35508200000000001</v>
      </c>
      <c r="G32">
        <v>0</v>
      </c>
      <c r="H32">
        <v>0</v>
      </c>
      <c r="I32" t="s">
        <v>20</v>
      </c>
    </row>
    <row r="33" spans="1:9" x14ac:dyDescent="0.3">
      <c r="A33">
        <v>15</v>
      </c>
      <c r="B33" t="s">
        <v>54</v>
      </c>
      <c r="C33">
        <v>2.2096309999999999</v>
      </c>
      <c r="D33">
        <v>37.726260000000003</v>
      </c>
      <c r="E33">
        <v>1.052535</v>
      </c>
      <c r="F33">
        <v>0.47633959999999997</v>
      </c>
      <c r="G33">
        <v>0</v>
      </c>
      <c r="H33">
        <v>0</v>
      </c>
      <c r="I33" t="s">
        <v>22</v>
      </c>
    </row>
    <row r="34" spans="1:9" x14ac:dyDescent="0.3">
      <c r="A34">
        <v>15</v>
      </c>
      <c r="B34" t="s">
        <v>55</v>
      </c>
      <c r="C34">
        <v>2.2935180000000002</v>
      </c>
      <c r="D34">
        <v>100.6861</v>
      </c>
      <c r="E34">
        <v>2.2935180000000002</v>
      </c>
      <c r="F34">
        <v>1</v>
      </c>
      <c r="G34">
        <v>0</v>
      </c>
      <c r="H34">
        <v>0</v>
      </c>
      <c r="I34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22</v>
      </c>
      <c r="B2" t="s">
        <v>56</v>
      </c>
      <c r="C2">
        <v>1.2176419999999999</v>
      </c>
      <c r="D2">
        <v>26.192550000000001</v>
      </c>
      <c r="E2">
        <v>0.28933130000000001</v>
      </c>
      <c r="F2">
        <v>0.2376161</v>
      </c>
      <c r="G2">
        <v>0</v>
      </c>
      <c r="H2">
        <v>1</v>
      </c>
      <c r="I2" t="s">
        <v>10</v>
      </c>
    </row>
    <row r="3" spans="1:9" x14ac:dyDescent="0.3">
      <c r="A3">
        <v>23</v>
      </c>
      <c r="B3" t="s">
        <v>57</v>
      </c>
      <c r="C3">
        <v>1.0031380000000001</v>
      </c>
      <c r="D3">
        <v>46.261389999999999</v>
      </c>
      <c r="E3">
        <v>1.0031380000000001</v>
      </c>
      <c r="F3">
        <v>1</v>
      </c>
      <c r="G3">
        <v>0</v>
      </c>
      <c r="H3">
        <v>0</v>
      </c>
      <c r="I3" t="s">
        <v>10</v>
      </c>
    </row>
    <row r="4" spans="1:9" x14ac:dyDescent="0.3">
      <c r="A4">
        <v>23</v>
      </c>
      <c r="B4" t="s">
        <v>58</v>
      </c>
      <c r="C4">
        <v>1.223033</v>
      </c>
      <c r="D4">
        <v>23.547979999999999</v>
      </c>
      <c r="E4">
        <v>0.35389369999999998</v>
      </c>
      <c r="F4">
        <v>0.28935739999999999</v>
      </c>
      <c r="G4">
        <v>0</v>
      </c>
      <c r="H4">
        <v>0</v>
      </c>
      <c r="I4" t="s">
        <v>12</v>
      </c>
    </row>
    <row r="5" spans="1:9" x14ac:dyDescent="0.3">
      <c r="A5">
        <v>23</v>
      </c>
      <c r="B5" t="s">
        <v>59</v>
      </c>
      <c r="C5">
        <v>1.7811570000000001</v>
      </c>
      <c r="D5">
        <v>41.477980000000002</v>
      </c>
      <c r="E5">
        <v>1.6525799999999999</v>
      </c>
      <c r="F5">
        <v>0.92781309999999995</v>
      </c>
      <c r="G5">
        <v>0</v>
      </c>
      <c r="H5">
        <v>1</v>
      </c>
      <c r="I5" t="s">
        <v>14</v>
      </c>
    </row>
    <row r="6" spans="1:9" x14ac:dyDescent="0.3">
      <c r="A6">
        <v>25</v>
      </c>
      <c r="B6" t="s">
        <v>60</v>
      </c>
      <c r="C6">
        <v>0.9327995</v>
      </c>
      <c r="D6">
        <v>30.626200000000001</v>
      </c>
      <c r="E6">
        <v>0.58596749999999997</v>
      </c>
      <c r="F6">
        <v>0.62818160000000001</v>
      </c>
      <c r="G6">
        <v>0</v>
      </c>
      <c r="H6">
        <v>1</v>
      </c>
      <c r="I6" t="s">
        <v>10</v>
      </c>
    </row>
    <row r="7" spans="1:9" x14ac:dyDescent="0.3">
      <c r="A7">
        <v>25</v>
      </c>
      <c r="B7" t="s">
        <v>61</v>
      </c>
      <c r="C7">
        <v>0.82171240000000001</v>
      </c>
      <c r="D7">
        <v>25.67625</v>
      </c>
      <c r="E7">
        <v>0.31018370000000001</v>
      </c>
      <c r="F7">
        <v>0.3774845</v>
      </c>
      <c r="G7">
        <v>0</v>
      </c>
      <c r="H7">
        <v>0</v>
      </c>
      <c r="I7" t="s">
        <v>12</v>
      </c>
    </row>
    <row r="8" spans="1:9" x14ac:dyDescent="0.3">
      <c r="A8">
        <v>25</v>
      </c>
      <c r="B8" t="s">
        <v>62</v>
      </c>
      <c r="C8">
        <v>1.1461159999999999</v>
      </c>
      <c r="D8">
        <v>40.709879999999998</v>
      </c>
      <c r="E8">
        <v>1.0480449999999999</v>
      </c>
      <c r="F8">
        <v>0.91443200000000002</v>
      </c>
      <c r="G8">
        <v>0</v>
      </c>
      <c r="H8">
        <v>0</v>
      </c>
      <c r="I8" t="s">
        <v>14</v>
      </c>
    </row>
    <row r="9" spans="1:9" x14ac:dyDescent="0.3">
      <c r="A9">
        <v>26</v>
      </c>
      <c r="B9" t="s">
        <v>63</v>
      </c>
      <c r="C9">
        <v>1.29928</v>
      </c>
      <c r="D9">
        <v>29.171720000000001</v>
      </c>
      <c r="E9">
        <v>0.56082379999999998</v>
      </c>
      <c r="F9">
        <v>0.43164190000000002</v>
      </c>
      <c r="G9">
        <v>0</v>
      </c>
      <c r="H9">
        <v>1</v>
      </c>
      <c r="I9" t="s">
        <v>10</v>
      </c>
    </row>
    <row r="10" spans="1:9" x14ac:dyDescent="0.3">
      <c r="A10">
        <v>27</v>
      </c>
      <c r="B10" t="s">
        <v>64</v>
      </c>
      <c r="C10">
        <v>1.423467</v>
      </c>
      <c r="D10">
        <v>32.653019999999998</v>
      </c>
      <c r="E10">
        <v>0.74002639999999997</v>
      </c>
      <c r="F10">
        <v>0.51987609999999995</v>
      </c>
      <c r="G10">
        <v>0</v>
      </c>
      <c r="H10">
        <v>1</v>
      </c>
      <c r="I10" t="s">
        <v>10</v>
      </c>
    </row>
    <row r="11" spans="1:9" x14ac:dyDescent="0.3">
      <c r="A11">
        <v>28</v>
      </c>
      <c r="B11" t="s">
        <v>65</v>
      </c>
      <c r="C11">
        <v>1.6328549999999999</v>
      </c>
      <c r="D11">
        <v>54.801699999999997</v>
      </c>
      <c r="E11">
        <v>1.1249849999999999</v>
      </c>
      <c r="F11">
        <v>0.68896780000000002</v>
      </c>
      <c r="G11">
        <v>0</v>
      </c>
      <c r="H11">
        <v>0</v>
      </c>
      <c r="I11" t="s">
        <v>10</v>
      </c>
    </row>
    <row r="12" spans="1:9" x14ac:dyDescent="0.3">
      <c r="A12">
        <v>28</v>
      </c>
      <c r="B12" t="s">
        <v>66</v>
      </c>
      <c r="C12">
        <v>0.86105279999999995</v>
      </c>
      <c r="D12">
        <v>13.184810000000001</v>
      </c>
      <c r="E12">
        <v>0</v>
      </c>
      <c r="F12">
        <v>0</v>
      </c>
      <c r="G12">
        <v>0</v>
      </c>
      <c r="H12">
        <v>0</v>
      </c>
      <c r="I12" t="s">
        <v>12</v>
      </c>
    </row>
    <row r="13" spans="1:9" x14ac:dyDescent="0.3">
      <c r="A13">
        <v>28</v>
      </c>
      <c r="B13" t="s">
        <v>67</v>
      </c>
      <c r="C13">
        <v>1.1944220000000001</v>
      </c>
      <c r="D13">
        <v>32.898650000000004</v>
      </c>
      <c r="E13">
        <v>0.82033489999999998</v>
      </c>
      <c r="F13">
        <v>0.6868052</v>
      </c>
      <c r="G13">
        <v>0</v>
      </c>
      <c r="H13">
        <v>0</v>
      </c>
      <c r="I13" t="s">
        <v>14</v>
      </c>
    </row>
    <row r="14" spans="1:9" x14ac:dyDescent="0.3">
      <c r="A14">
        <v>28</v>
      </c>
      <c r="B14" t="s">
        <v>68</v>
      </c>
      <c r="C14">
        <v>1.7939080000000001</v>
      </c>
      <c r="D14">
        <v>40.314169999999997</v>
      </c>
      <c r="E14">
        <v>1.5219879999999999</v>
      </c>
      <c r="F14">
        <v>0.84842010000000001</v>
      </c>
      <c r="G14">
        <v>0</v>
      </c>
      <c r="H14">
        <v>1</v>
      </c>
      <c r="I14" t="s">
        <v>16</v>
      </c>
    </row>
    <row r="15" spans="1:9" x14ac:dyDescent="0.3">
      <c r="A15">
        <v>29</v>
      </c>
      <c r="B15" t="s">
        <v>69</v>
      </c>
      <c r="C15">
        <v>1.2636039999999999</v>
      </c>
      <c r="D15">
        <v>38.780560000000001</v>
      </c>
      <c r="E15">
        <v>0.83045869999999999</v>
      </c>
      <c r="F15">
        <v>0.65721450000000003</v>
      </c>
      <c r="G15">
        <v>0</v>
      </c>
      <c r="H15">
        <v>0</v>
      </c>
      <c r="I15" t="s">
        <v>10</v>
      </c>
    </row>
    <row r="16" spans="1:9" x14ac:dyDescent="0.3">
      <c r="A16">
        <v>29</v>
      </c>
      <c r="B16" t="s">
        <v>70</v>
      </c>
      <c r="C16">
        <v>1.2013780000000001</v>
      </c>
      <c r="D16">
        <v>31.212730000000001</v>
      </c>
      <c r="E16">
        <v>0.271868</v>
      </c>
      <c r="F16">
        <v>0.22629679999999999</v>
      </c>
      <c r="G16">
        <v>0</v>
      </c>
      <c r="H16">
        <v>1</v>
      </c>
      <c r="I16" t="s">
        <v>12</v>
      </c>
    </row>
    <row r="17" spans="1:9" x14ac:dyDescent="0.3">
      <c r="A17">
        <v>30</v>
      </c>
      <c r="B17" t="s">
        <v>71</v>
      </c>
      <c r="C17">
        <v>1.4407460000000001</v>
      </c>
      <c r="D17">
        <v>43.099760000000003</v>
      </c>
      <c r="E17">
        <v>1.1169089999999999</v>
      </c>
      <c r="F17">
        <v>0.77522930000000001</v>
      </c>
      <c r="G17">
        <v>0</v>
      </c>
      <c r="H17">
        <v>0</v>
      </c>
      <c r="I17" t="s">
        <v>10</v>
      </c>
    </row>
    <row r="18" spans="1:9" x14ac:dyDescent="0.3">
      <c r="A18">
        <v>30</v>
      </c>
      <c r="B18" t="s">
        <v>72</v>
      </c>
      <c r="C18">
        <v>1.320662</v>
      </c>
      <c r="D18">
        <v>34.021769999999997</v>
      </c>
      <c r="E18">
        <v>0.75850839999999997</v>
      </c>
      <c r="F18">
        <v>0.57433959999999995</v>
      </c>
      <c r="G18">
        <v>0</v>
      </c>
      <c r="H18">
        <v>1</v>
      </c>
      <c r="I18" t="s">
        <v>12</v>
      </c>
    </row>
    <row r="19" spans="1:9" x14ac:dyDescent="0.3">
      <c r="A19">
        <v>31</v>
      </c>
      <c r="B19" t="s">
        <v>73</v>
      </c>
      <c r="C19">
        <v>1.212872</v>
      </c>
      <c r="D19">
        <v>45.810519999999997</v>
      </c>
      <c r="E19">
        <v>0.91179060000000001</v>
      </c>
      <c r="F19">
        <v>0.75176140000000002</v>
      </c>
      <c r="G19">
        <v>0</v>
      </c>
      <c r="H19">
        <v>0</v>
      </c>
      <c r="I19" t="s">
        <v>10</v>
      </c>
    </row>
    <row r="20" spans="1:9" x14ac:dyDescent="0.3">
      <c r="A20">
        <v>31</v>
      </c>
      <c r="B20" t="s">
        <v>74</v>
      </c>
      <c r="C20">
        <v>1.367305</v>
      </c>
      <c r="D20">
        <v>39.897559999999999</v>
      </c>
      <c r="E20">
        <v>0.85176719999999995</v>
      </c>
      <c r="F20">
        <v>0.62295330000000004</v>
      </c>
      <c r="G20">
        <v>0</v>
      </c>
      <c r="H20">
        <v>0</v>
      </c>
      <c r="I20" t="s">
        <v>12</v>
      </c>
    </row>
    <row r="21" spans="1:9" x14ac:dyDescent="0.3">
      <c r="A21">
        <v>31</v>
      </c>
      <c r="B21" t="s">
        <v>75</v>
      </c>
      <c r="C21">
        <v>1.030376</v>
      </c>
      <c r="D21">
        <v>38.099789999999999</v>
      </c>
      <c r="E21">
        <v>0.91650419999999999</v>
      </c>
      <c r="F21">
        <v>0.88948519999999998</v>
      </c>
      <c r="G21">
        <v>0</v>
      </c>
      <c r="H21">
        <v>0</v>
      </c>
      <c r="I21" t="s">
        <v>14</v>
      </c>
    </row>
    <row r="22" spans="1:9" x14ac:dyDescent="0.3">
      <c r="A22">
        <v>32</v>
      </c>
      <c r="B22" t="s">
        <v>76</v>
      </c>
      <c r="C22">
        <v>1.2672589999999999</v>
      </c>
      <c r="D22">
        <v>60.13955</v>
      </c>
      <c r="E22">
        <v>1.2040789999999999</v>
      </c>
      <c r="F22">
        <v>0.95014399999999999</v>
      </c>
      <c r="G22">
        <v>0</v>
      </c>
      <c r="H22">
        <v>1</v>
      </c>
      <c r="I22" t="s">
        <v>10</v>
      </c>
    </row>
    <row r="23" spans="1:9" x14ac:dyDescent="0.3">
      <c r="A23">
        <v>32</v>
      </c>
      <c r="B23" t="s">
        <v>77</v>
      </c>
      <c r="C23">
        <v>1.3870420000000001</v>
      </c>
      <c r="D23">
        <v>42.745640000000002</v>
      </c>
      <c r="E23">
        <v>0.95412649999999999</v>
      </c>
      <c r="F23">
        <v>0.68788559999999999</v>
      </c>
      <c r="G23">
        <v>0</v>
      </c>
      <c r="H23">
        <v>0</v>
      </c>
      <c r="I23" t="s">
        <v>12</v>
      </c>
    </row>
    <row r="24" spans="1:9" x14ac:dyDescent="0.3">
      <c r="A24">
        <v>32</v>
      </c>
      <c r="B24" t="s">
        <v>78</v>
      </c>
      <c r="C24">
        <v>1.1743030000000001</v>
      </c>
      <c r="D24">
        <v>45.180619999999998</v>
      </c>
      <c r="E24">
        <v>1.1743030000000001</v>
      </c>
      <c r="F24">
        <v>1</v>
      </c>
      <c r="G24">
        <v>0</v>
      </c>
      <c r="H24">
        <v>0</v>
      </c>
      <c r="I24" t="s">
        <v>14</v>
      </c>
    </row>
    <row r="25" spans="1:9" x14ac:dyDescent="0.3">
      <c r="A25">
        <v>32</v>
      </c>
      <c r="B25" t="s">
        <v>79</v>
      </c>
      <c r="C25">
        <v>1.5512600000000001</v>
      </c>
      <c r="D25">
        <v>36.294049999999999</v>
      </c>
      <c r="E25">
        <v>0.92662140000000004</v>
      </c>
      <c r="F25">
        <v>0.5973347</v>
      </c>
      <c r="G25">
        <v>0</v>
      </c>
      <c r="H25">
        <v>0</v>
      </c>
      <c r="I25" t="s">
        <v>16</v>
      </c>
    </row>
    <row r="26" spans="1:9" x14ac:dyDescent="0.3">
      <c r="A26">
        <v>32</v>
      </c>
      <c r="B26" t="s">
        <v>80</v>
      </c>
      <c r="C26">
        <v>1.5911249999999999</v>
      </c>
      <c r="D26">
        <v>42.560650000000003</v>
      </c>
      <c r="E26">
        <v>1.3632919999999999</v>
      </c>
      <c r="F26">
        <v>0.85680999999999996</v>
      </c>
      <c r="G26">
        <v>0</v>
      </c>
      <c r="H26">
        <v>0</v>
      </c>
      <c r="I26" t="s">
        <v>18</v>
      </c>
    </row>
    <row r="27" spans="1:9" x14ac:dyDescent="0.3">
      <c r="A27">
        <v>32</v>
      </c>
      <c r="B27" t="s">
        <v>81</v>
      </c>
      <c r="C27">
        <v>2.3532760000000001</v>
      </c>
      <c r="D27">
        <v>39.58446</v>
      </c>
      <c r="E27">
        <v>1.76928</v>
      </c>
      <c r="F27">
        <v>0.75183699999999998</v>
      </c>
      <c r="G27">
        <v>0</v>
      </c>
      <c r="H27">
        <v>1</v>
      </c>
      <c r="I27" t="s">
        <v>20</v>
      </c>
    </row>
    <row r="28" spans="1:9" x14ac:dyDescent="0.3">
      <c r="A28">
        <v>33</v>
      </c>
      <c r="B28" t="s">
        <v>82</v>
      </c>
      <c r="C28">
        <v>1.288405</v>
      </c>
      <c r="D28">
        <v>65.446079999999995</v>
      </c>
      <c r="E28">
        <v>1.155924</v>
      </c>
      <c r="F28">
        <v>0.89717420000000003</v>
      </c>
      <c r="G28">
        <v>0</v>
      </c>
      <c r="H28">
        <v>0</v>
      </c>
      <c r="I28" t="s">
        <v>10</v>
      </c>
    </row>
    <row r="29" spans="1:9" x14ac:dyDescent="0.3">
      <c r="A29">
        <v>33</v>
      </c>
      <c r="B29" t="s">
        <v>83</v>
      </c>
      <c r="C29">
        <v>1.6700349999999999</v>
      </c>
      <c r="D29">
        <v>40.926250000000003</v>
      </c>
      <c r="E29">
        <v>0.96297889999999997</v>
      </c>
      <c r="F29">
        <v>0.57662210000000003</v>
      </c>
      <c r="G29">
        <v>0</v>
      </c>
      <c r="H29">
        <v>0</v>
      </c>
      <c r="I29" t="s">
        <v>12</v>
      </c>
    </row>
    <row r="30" spans="1:9" x14ac:dyDescent="0.3">
      <c r="A30">
        <v>33</v>
      </c>
      <c r="B30" t="s">
        <v>84</v>
      </c>
      <c r="C30">
        <v>1.5635030000000001</v>
      </c>
      <c r="D30">
        <v>36.560659999999999</v>
      </c>
      <c r="E30">
        <v>0.66324249999999996</v>
      </c>
      <c r="F30">
        <v>0.42420289999999999</v>
      </c>
      <c r="G30">
        <v>0</v>
      </c>
      <c r="H30">
        <v>1</v>
      </c>
      <c r="I30" t="s">
        <v>14</v>
      </c>
    </row>
    <row r="31" spans="1:9" x14ac:dyDescent="0.3">
      <c r="A31">
        <v>34</v>
      </c>
      <c r="B31" t="s">
        <v>85</v>
      </c>
      <c r="C31">
        <v>1.2312050000000001</v>
      </c>
      <c r="D31">
        <v>40.530079999999998</v>
      </c>
      <c r="E31">
        <v>1.0091429999999999</v>
      </c>
      <c r="F31">
        <v>0.81963859999999999</v>
      </c>
      <c r="G31">
        <v>0</v>
      </c>
      <c r="H31">
        <v>0</v>
      </c>
      <c r="I31" t="s">
        <v>10</v>
      </c>
    </row>
    <row r="32" spans="1:9" x14ac:dyDescent="0.3">
      <c r="A32">
        <v>34</v>
      </c>
      <c r="B32" t="s">
        <v>86</v>
      </c>
      <c r="C32">
        <v>1.423746</v>
      </c>
      <c r="D32">
        <v>53.516689999999997</v>
      </c>
      <c r="E32">
        <v>1.1057939999999999</v>
      </c>
      <c r="F32">
        <v>0.77667929999999996</v>
      </c>
      <c r="G32">
        <v>0</v>
      </c>
      <c r="H32">
        <v>0</v>
      </c>
      <c r="I32" t="s">
        <v>12</v>
      </c>
    </row>
    <row r="33" spans="1:9" x14ac:dyDescent="0.3">
      <c r="A33">
        <v>34</v>
      </c>
      <c r="B33" t="s">
        <v>87</v>
      </c>
      <c r="C33">
        <v>2.0953810000000002</v>
      </c>
      <c r="D33">
        <v>73.001670000000004</v>
      </c>
      <c r="E33">
        <v>2.0082490000000002</v>
      </c>
      <c r="F33">
        <v>0.95841710000000002</v>
      </c>
      <c r="G33">
        <v>0</v>
      </c>
      <c r="H33">
        <v>1</v>
      </c>
      <c r="I33" t="s">
        <v>14</v>
      </c>
    </row>
    <row r="34" spans="1:9" x14ac:dyDescent="0.3">
      <c r="A34">
        <v>35</v>
      </c>
      <c r="B34" t="s">
        <v>88</v>
      </c>
      <c r="C34">
        <v>1.9371940000000001</v>
      </c>
      <c r="D34">
        <v>66.042739999999995</v>
      </c>
      <c r="E34">
        <v>1.809391</v>
      </c>
      <c r="F34">
        <v>0.93402649999999998</v>
      </c>
      <c r="G34">
        <v>0</v>
      </c>
      <c r="H34">
        <v>1</v>
      </c>
      <c r="I34" t="s">
        <v>10</v>
      </c>
    </row>
    <row r="35" spans="1:9" x14ac:dyDescent="0.3">
      <c r="A35">
        <v>36</v>
      </c>
      <c r="B35" t="s">
        <v>89</v>
      </c>
      <c r="C35">
        <v>0.96698930000000005</v>
      </c>
      <c r="D35">
        <v>14.186959999999999</v>
      </c>
      <c r="E35">
        <v>2.4620599999999999E-2</v>
      </c>
      <c r="F35">
        <v>2.5461089999999999E-2</v>
      </c>
      <c r="G35">
        <v>0</v>
      </c>
      <c r="H35">
        <v>0</v>
      </c>
      <c r="I35" t="s">
        <v>10</v>
      </c>
    </row>
    <row r="36" spans="1:9" x14ac:dyDescent="0.3">
      <c r="A36">
        <v>36</v>
      </c>
      <c r="B36" t="s">
        <v>90</v>
      </c>
      <c r="C36">
        <v>1.5099119999999999</v>
      </c>
      <c r="D36">
        <v>59.033529999999999</v>
      </c>
      <c r="E36">
        <v>1.4731920000000001</v>
      </c>
      <c r="F36">
        <v>0.97568060000000001</v>
      </c>
      <c r="G36">
        <v>0</v>
      </c>
      <c r="H36">
        <v>0</v>
      </c>
      <c r="I36" t="s">
        <v>12</v>
      </c>
    </row>
    <row r="37" spans="1:9" x14ac:dyDescent="0.3">
      <c r="A37">
        <v>36</v>
      </c>
      <c r="B37" t="s">
        <v>91</v>
      </c>
      <c r="C37">
        <v>1.643224</v>
      </c>
      <c r="D37">
        <v>55.989409999999999</v>
      </c>
      <c r="E37">
        <v>1.620984</v>
      </c>
      <c r="F37">
        <v>0.98646599999999995</v>
      </c>
      <c r="G37">
        <v>0</v>
      </c>
      <c r="H37">
        <v>0</v>
      </c>
      <c r="I37" t="s">
        <v>14</v>
      </c>
    </row>
    <row r="38" spans="1:9" x14ac:dyDescent="0.3">
      <c r="A38">
        <v>36</v>
      </c>
      <c r="B38" t="s">
        <v>92</v>
      </c>
      <c r="C38">
        <v>1.593493</v>
      </c>
      <c r="D38">
        <v>44.191380000000002</v>
      </c>
      <c r="E38">
        <v>1.368628</v>
      </c>
      <c r="F38">
        <v>0.85888549999999997</v>
      </c>
      <c r="G38">
        <v>0</v>
      </c>
      <c r="H38">
        <v>0</v>
      </c>
      <c r="I38" t="s">
        <v>16</v>
      </c>
    </row>
    <row r="39" spans="1:9" x14ac:dyDescent="0.3">
      <c r="A39">
        <v>36</v>
      </c>
      <c r="B39" t="s">
        <v>93</v>
      </c>
      <c r="C39">
        <v>1.9014709999999999</v>
      </c>
      <c r="D39">
        <v>57.144930000000002</v>
      </c>
      <c r="E39">
        <v>1.71078</v>
      </c>
      <c r="F39">
        <v>0.89971389999999996</v>
      </c>
      <c r="G39">
        <v>0</v>
      </c>
      <c r="H39">
        <v>0</v>
      </c>
      <c r="I39" t="s">
        <v>18</v>
      </c>
    </row>
    <row r="40" spans="1:9" x14ac:dyDescent="0.3">
      <c r="A40">
        <v>36</v>
      </c>
      <c r="B40" t="s">
        <v>94</v>
      </c>
      <c r="C40">
        <v>1.9540839999999999</v>
      </c>
      <c r="D40">
        <v>46.43385</v>
      </c>
      <c r="E40">
        <v>1.733887</v>
      </c>
      <c r="F40">
        <v>0.88731409999999999</v>
      </c>
      <c r="G40">
        <v>0</v>
      </c>
      <c r="H40">
        <v>1</v>
      </c>
      <c r="I40" t="s">
        <v>20</v>
      </c>
    </row>
    <row r="41" spans="1:9" x14ac:dyDescent="0.3">
      <c r="A41">
        <v>37</v>
      </c>
      <c r="B41" t="s">
        <v>95</v>
      </c>
      <c r="C41">
        <v>1.6391830000000001</v>
      </c>
      <c r="D41">
        <v>45.825009999999999</v>
      </c>
      <c r="E41">
        <v>1.032125</v>
      </c>
      <c r="F41">
        <v>0.62965800000000005</v>
      </c>
      <c r="G41">
        <v>0</v>
      </c>
      <c r="H41">
        <v>0</v>
      </c>
      <c r="I41" t="s">
        <v>10</v>
      </c>
    </row>
    <row r="42" spans="1:9" x14ac:dyDescent="0.3">
      <c r="A42">
        <v>37</v>
      </c>
      <c r="B42" t="s">
        <v>96</v>
      </c>
      <c r="C42">
        <v>1.3905419999999999</v>
      </c>
      <c r="D42">
        <v>31.855060000000002</v>
      </c>
      <c r="E42">
        <v>0.81752720000000001</v>
      </c>
      <c r="F42">
        <v>0.58791990000000005</v>
      </c>
      <c r="G42">
        <v>0</v>
      </c>
      <c r="H42">
        <v>0</v>
      </c>
      <c r="I42" t="s">
        <v>12</v>
      </c>
    </row>
    <row r="43" spans="1:9" x14ac:dyDescent="0.3">
      <c r="A43">
        <v>37</v>
      </c>
      <c r="B43" t="s">
        <v>97</v>
      </c>
      <c r="C43">
        <v>1.404061</v>
      </c>
      <c r="D43">
        <v>50.602449999999997</v>
      </c>
      <c r="E43">
        <v>1.404061</v>
      </c>
      <c r="F43">
        <v>1</v>
      </c>
      <c r="G43">
        <v>0</v>
      </c>
      <c r="H43">
        <v>0</v>
      </c>
      <c r="I43" t="s">
        <v>14</v>
      </c>
    </row>
    <row r="44" spans="1:9" x14ac:dyDescent="0.3">
      <c r="A44">
        <v>37</v>
      </c>
      <c r="B44" t="s">
        <v>98</v>
      </c>
      <c r="C44">
        <v>1.6595519999999999</v>
      </c>
      <c r="D44">
        <v>38.70147</v>
      </c>
      <c r="E44">
        <v>1.431308</v>
      </c>
      <c r="F44">
        <v>0.86246659999999997</v>
      </c>
      <c r="G44">
        <v>0</v>
      </c>
      <c r="H44">
        <v>1</v>
      </c>
      <c r="I44" t="s">
        <v>16</v>
      </c>
    </row>
    <row r="45" spans="1:9" x14ac:dyDescent="0.3">
      <c r="A45">
        <v>38</v>
      </c>
      <c r="B45" t="s">
        <v>99</v>
      </c>
      <c r="C45">
        <v>1.3802449999999999</v>
      </c>
      <c r="D45">
        <v>44.816070000000003</v>
      </c>
      <c r="E45">
        <v>1.1153999999999999</v>
      </c>
      <c r="F45">
        <v>0.80811750000000004</v>
      </c>
      <c r="G45">
        <v>0</v>
      </c>
      <c r="H45">
        <v>0</v>
      </c>
      <c r="I45" t="s">
        <v>10</v>
      </c>
    </row>
    <row r="46" spans="1:9" x14ac:dyDescent="0.3">
      <c r="A46">
        <v>38</v>
      </c>
      <c r="B46" t="s">
        <v>100</v>
      </c>
      <c r="C46">
        <v>1.4011359999999999</v>
      </c>
      <c r="D46">
        <v>58.710549999999998</v>
      </c>
      <c r="E46">
        <v>1.25871</v>
      </c>
      <c r="F46">
        <v>0.89834950000000002</v>
      </c>
      <c r="G46">
        <v>0</v>
      </c>
      <c r="H46">
        <v>0</v>
      </c>
      <c r="I46" t="s">
        <v>12</v>
      </c>
    </row>
    <row r="47" spans="1:9" x14ac:dyDescent="0.3">
      <c r="A47">
        <v>38</v>
      </c>
      <c r="B47" t="s">
        <v>101</v>
      </c>
      <c r="C47">
        <v>1.199314</v>
      </c>
      <c r="D47">
        <v>50.867370000000001</v>
      </c>
      <c r="E47">
        <v>1.199314</v>
      </c>
      <c r="F47">
        <v>1</v>
      </c>
      <c r="G47">
        <v>0</v>
      </c>
      <c r="H47">
        <v>0</v>
      </c>
      <c r="I47" t="s">
        <v>14</v>
      </c>
    </row>
    <row r="48" spans="1:9" x14ac:dyDescent="0.3">
      <c r="A48">
        <v>38</v>
      </c>
      <c r="B48" t="s">
        <v>102</v>
      </c>
      <c r="C48">
        <v>1.492038</v>
      </c>
      <c r="D48">
        <v>39.673340000000003</v>
      </c>
      <c r="E48">
        <v>1.277371</v>
      </c>
      <c r="F48">
        <v>0.85612489999999997</v>
      </c>
      <c r="G48">
        <v>0</v>
      </c>
      <c r="H48">
        <v>0</v>
      </c>
      <c r="I48" t="s">
        <v>16</v>
      </c>
    </row>
    <row r="49" spans="1:9" x14ac:dyDescent="0.3">
      <c r="A49">
        <v>38</v>
      </c>
      <c r="B49" t="s">
        <v>103</v>
      </c>
      <c r="C49">
        <v>1.48017</v>
      </c>
      <c r="D49">
        <v>44.801569999999998</v>
      </c>
      <c r="E49">
        <v>1.310619</v>
      </c>
      <c r="F49">
        <v>0.88545160000000001</v>
      </c>
      <c r="G49">
        <v>0</v>
      </c>
      <c r="H49">
        <v>0</v>
      </c>
      <c r="I49" t="s">
        <v>18</v>
      </c>
    </row>
    <row r="50" spans="1:9" x14ac:dyDescent="0.3">
      <c r="A50">
        <v>38</v>
      </c>
      <c r="B50" t="s">
        <v>104</v>
      </c>
      <c r="C50">
        <v>1.92004</v>
      </c>
      <c r="D50">
        <v>50.412520000000001</v>
      </c>
      <c r="E50">
        <v>1.59738</v>
      </c>
      <c r="F50">
        <v>0.83195149999999995</v>
      </c>
      <c r="G50">
        <v>0</v>
      </c>
      <c r="H50">
        <v>0</v>
      </c>
      <c r="I50" t="s">
        <v>20</v>
      </c>
    </row>
    <row r="51" spans="1:9" x14ac:dyDescent="0.3">
      <c r="A51">
        <v>38</v>
      </c>
      <c r="B51" t="s">
        <v>105</v>
      </c>
      <c r="C51">
        <v>1.7327650000000001</v>
      </c>
      <c r="D51">
        <v>49.26735</v>
      </c>
      <c r="E51">
        <v>1.5229349999999999</v>
      </c>
      <c r="F51">
        <v>0.87890440000000003</v>
      </c>
      <c r="G51">
        <v>0</v>
      </c>
      <c r="H51">
        <v>0</v>
      </c>
      <c r="I51" t="s">
        <v>22</v>
      </c>
    </row>
    <row r="52" spans="1:9" x14ac:dyDescent="0.3">
      <c r="A52">
        <v>38</v>
      </c>
      <c r="B52" t="s">
        <v>106</v>
      </c>
      <c r="C52">
        <v>1.8740410000000001</v>
      </c>
      <c r="D52">
        <v>75.702870000000004</v>
      </c>
      <c r="E52">
        <v>1.333197</v>
      </c>
      <c r="F52">
        <v>0.71140250000000005</v>
      </c>
      <c r="G52">
        <v>0</v>
      </c>
      <c r="H52">
        <v>0</v>
      </c>
      <c r="I52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</v>
      </c>
      <c r="B2" t="s">
        <v>17</v>
      </c>
      <c r="C2">
        <v>1.343988</v>
      </c>
      <c r="D2">
        <v>40.867179999999998</v>
      </c>
      <c r="E2">
        <v>0.8319242</v>
      </c>
      <c r="F2">
        <v>0.61899689999999996</v>
      </c>
      <c r="G2">
        <v>0</v>
      </c>
      <c r="H2">
        <v>0</v>
      </c>
      <c r="I2" t="s">
        <v>10</v>
      </c>
    </row>
    <row r="3" spans="1:9" x14ac:dyDescent="0.3">
      <c r="A3">
        <v>8</v>
      </c>
      <c r="B3" t="s">
        <v>19</v>
      </c>
      <c r="C3">
        <v>2.2475000000000001</v>
      </c>
      <c r="D3">
        <v>83.665239999999997</v>
      </c>
      <c r="E3">
        <v>1.865604</v>
      </c>
      <c r="F3">
        <v>0.83007989999999998</v>
      </c>
      <c r="G3">
        <v>0</v>
      </c>
      <c r="H3">
        <v>1</v>
      </c>
      <c r="I3" t="s">
        <v>12</v>
      </c>
    </row>
    <row r="4" spans="1:9" x14ac:dyDescent="0.3">
      <c r="A4">
        <v>9</v>
      </c>
      <c r="B4" t="s">
        <v>21</v>
      </c>
      <c r="C4">
        <v>1.3572740000000001</v>
      </c>
      <c r="D4">
        <v>52.288139999999999</v>
      </c>
      <c r="E4">
        <v>1.0209349999999999</v>
      </c>
      <c r="F4">
        <v>0.75219519999999995</v>
      </c>
      <c r="G4">
        <v>0</v>
      </c>
      <c r="H4">
        <v>0</v>
      </c>
      <c r="I4" t="s">
        <v>10</v>
      </c>
    </row>
    <row r="5" spans="1:9" x14ac:dyDescent="0.3">
      <c r="A5">
        <v>9</v>
      </c>
      <c r="B5" t="s">
        <v>23</v>
      </c>
      <c r="C5">
        <v>1.8842140000000001</v>
      </c>
      <c r="D5">
        <v>56.06268</v>
      </c>
      <c r="E5">
        <v>1.373829</v>
      </c>
      <c r="F5">
        <v>0.72912569999999999</v>
      </c>
      <c r="G5">
        <v>0</v>
      </c>
      <c r="H5">
        <v>0</v>
      </c>
      <c r="I5" t="s">
        <v>12</v>
      </c>
    </row>
    <row r="6" spans="1:9" x14ac:dyDescent="0.3">
      <c r="A6">
        <v>9</v>
      </c>
      <c r="B6" t="s">
        <v>33</v>
      </c>
      <c r="C6">
        <v>1.1902980000000001</v>
      </c>
      <c r="D6">
        <v>17.402170000000002</v>
      </c>
      <c r="E6">
        <v>0.100281</v>
      </c>
      <c r="F6">
        <v>8.4248680000000006E-2</v>
      </c>
      <c r="G6">
        <v>0</v>
      </c>
      <c r="H6">
        <v>0</v>
      </c>
      <c r="I6" t="s">
        <v>14</v>
      </c>
    </row>
    <row r="7" spans="1:9" x14ac:dyDescent="0.3">
      <c r="A7">
        <v>9</v>
      </c>
      <c r="B7" t="s">
        <v>34</v>
      </c>
      <c r="C7">
        <v>1.9694259999999999</v>
      </c>
      <c r="D7">
        <v>24.026199999999999</v>
      </c>
      <c r="E7">
        <v>0.70849359999999995</v>
      </c>
      <c r="F7">
        <v>0.35974620000000002</v>
      </c>
      <c r="G7">
        <v>0</v>
      </c>
      <c r="H7">
        <v>0</v>
      </c>
      <c r="I7" t="s">
        <v>16</v>
      </c>
    </row>
    <row r="8" spans="1:9" x14ac:dyDescent="0.3">
      <c r="A8">
        <v>9</v>
      </c>
      <c r="B8" t="s">
        <v>35</v>
      </c>
      <c r="C8">
        <v>1.9400550000000001</v>
      </c>
      <c r="D8">
        <v>39.514769999999999</v>
      </c>
      <c r="E8">
        <v>1.3276300000000001</v>
      </c>
      <c r="F8">
        <v>0.68432599999999999</v>
      </c>
      <c r="G8">
        <v>0</v>
      </c>
      <c r="H8">
        <v>0</v>
      </c>
      <c r="I8" t="s">
        <v>18</v>
      </c>
    </row>
    <row r="9" spans="1:9" x14ac:dyDescent="0.3">
      <c r="A9">
        <v>9</v>
      </c>
      <c r="B9" t="s">
        <v>36</v>
      </c>
      <c r="C9">
        <v>1.978175</v>
      </c>
      <c r="D9">
        <v>46.031280000000002</v>
      </c>
      <c r="E9">
        <v>1.4737979999999999</v>
      </c>
      <c r="F9">
        <v>0.74502939999999995</v>
      </c>
      <c r="G9">
        <v>0</v>
      </c>
      <c r="H9">
        <v>0</v>
      </c>
      <c r="I9" t="s">
        <v>20</v>
      </c>
    </row>
    <row r="10" spans="1:9" x14ac:dyDescent="0.3">
      <c r="A10">
        <v>9</v>
      </c>
      <c r="B10" t="s">
        <v>37</v>
      </c>
      <c r="C10">
        <v>1.873399</v>
      </c>
      <c r="D10">
        <v>31.123000000000001</v>
      </c>
      <c r="E10">
        <v>0.44764179999999998</v>
      </c>
      <c r="F10">
        <v>0.2389464</v>
      </c>
      <c r="G10">
        <v>0</v>
      </c>
      <c r="H10">
        <v>0</v>
      </c>
      <c r="I10" t="s">
        <v>22</v>
      </c>
    </row>
    <row r="11" spans="1:9" x14ac:dyDescent="0.3">
      <c r="A11">
        <v>9</v>
      </c>
      <c r="B11" t="s">
        <v>38</v>
      </c>
      <c r="C11">
        <v>1.4844440000000001</v>
      </c>
      <c r="D11">
        <v>60.079859999999996</v>
      </c>
      <c r="E11">
        <v>1.171052</v>
      </c>
      <c r="F11">
        <v>0.78888290000000005</v>
      </c>
      <c r="G11">
        <v>0</v>
      </c>
      <c r="H11">
        <v>0</v>
      </c>
      <c r="I11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 t="s">
        <v>54</v>
      </c>
      <c r="C2">
        <v>1.3217749999999999</v>
      </c>
      <c r="D2">
        <v>39.82246</v>
      </c>
      <c r="E2">
        <v>0.61981649999999999</v>
      </c>
      <c r="F2">
        <v>0.4689275</v>
      </c>
      <c r="G2">
        <v>0</v>
      </c>
      <c r="H2">
        <v>0</v>
      </c>
      <c r="I2" t="s">
        <v>10</v>
      </c>
    </row>
    <row r="3" spans="1:9" x14ac:dyDescent="0.3">
      <c r="A3">
        <v>10</v>
      </c>
      <c r="B3" t="s">
        <v>55</v>
      </c>
      <c r="C3">
        <v>1.4563950000000001</v>
      </c>
      <c r="D3">
        <v>43.228230000000003</v>
      </c>
      <c r="E3">
        <v>0.99672159999999999</v>
      </c>
      <c r="F3">
        <v>0.68437610000000004</v>
      </c>
      <c r="G3">
        <v>0</v>
      </c>
      <c r="H3">
        <v>0</v>
      </c>
      <c r="I3" t="s">
        <v>12</v>
      </c>
    </row>
    <row r="4" spans="1:9" x14ac:dyDescent="0.3">
      <c r="A4">
        <v>10</v>
      </c>
      <c r="B4" t="s">
        <v>107</v>
      </c>
      <c r="C4">
        <v>1.210815</v>
      </c>
      <c r="D4">
        <v>13.616250000000001</v>
      </c>
      <c r="E4">
        <v>0</v>
      </c>
      <c r="F4">
        <v>0</v>
      </c>
      <c r="G4">
        <v>0</v>
      </c>
      <c r="H4">
        <v>0</v>
      </c>
      <c r="I4" t="s">
        <v>14</v>
      </c>
    </row>
    <row r="5" spans="1:9" x14ac:dyDescent="0.3">
      <c r="A5">
        <v>10</v>
      </c>
      <c r="B5" t="s">
        <v>108</v>
      </c>
      <c r="C5">
        <v>1.565221</v>
      </c>
      <c r="D5">
        <v>11.0845</v>
      </c>
      <c r="E5">
        <v>0</v>
      </c>
      <c r="F5">
        <v>0</v>
      </c>
      <c r="G5">
        <v>0</v>
      </c>
      <c r="H5">
        <v>0</v>
      </c>
      <c r="I5" t="s">
        <v>16</v>
      </c>
    </row>
    <row r="6" spans="1:9" x14ac:dyDescent="0.3">
      <c r="A6">
        <v>10</v>
      </c>
      <c r="B6" t="s">
        <v>109</v>
      </c>
      <c r="C6">
        <v>1.728793</v>
      </c>
      <c r="D6">
        <v>27.448869999999999</v>
      </c>
      <c r="E6">
        <v>0.54865850000000005</v>
      </c>
      <c r="F6">
        <v>0.31736510000000001</v>
      </c>
      <c r="G6">
        <v>0</v>
      </c>
      <c r="H6">
        <v>0</v>
      </c>
      <c r="I6" t="s">
        <v>18</v>
      </c>
    </row>
    <row r="7" spans="1:9" x14ac:dyDescent="0.3">
      <c r="A7">
        <v>10</v>
      </c>
      <c r="B7" t="s">
        <v>110</v>
      </c>
      <c r="C7">
        <v>1.6873899999999999</v>
      </c>
      <c r="D7">
        <v>16.95908</v>
      </c>
      <c r="E7">
        <v>0.52718370000000003</v>
      </c>
      <c r="F7">
        <v>0.31242550000000002</v>
      </c>
      <c r="G7">
        <v>0</v>
      </c>
      <c r="H7">
        <v>0</v>
      </c>
      <c r="I7" t="s">
        <v>20</v>
      </c>
    </row>
    <row r="8" spans="1:9" x14ac:dyDescent="0.3">
      <c r="A8">
        <v>10</v>
      </c>
      <c r="B8" t="s">
        <v>111</v>
      </c>
      <c r="C8">
        <v>1.579671</v>
      </c>
      <c r="D8">
        <v>15.85514</v>
      </c>
      <c r="E8">
        <v>0.2311801</v>
      </c>
      <c r="F8">
        <v>0.146347</v>
      </c>
      <c r="G8">
        <v>0</v>
      </c>
      <c r="H8">
        <v>0</v>
      </c>
      <c r="I8" t="s">
        <v>22</v>
      </c>
    </row>
    <row r="9" spans="1:9" x14ac:dyDescent="0.3">
      <c r="A9">
        <v>10</v>
      </c>
      <c r="B9" t="s">
        <v>112</v>
      </c>
      <c r="C9">
        <v>1.9167749999999999</v>
      </c>
      <c r="D9">
        <v>63.731169999999999</v>
      </c>
      <c r="E9">
        <v>1.9167749999999999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12</v>
      </c>
      <c r="B2" t="s">
        <v>44</v>
      </c>
      <c r="C2">
        <v>1.4160010000000001</v>
      </c>
      <c r="D2">
        <v>40.234789999999997</v>
      </c>
      <c r="E2">
        <v>0.69063839999999999</v>
      </c>
      <c r="F2">
        <v>0.48773879999999997</v>
      </c>
      <c r="G2">
        <v>0</v>
      </c>
      <c r="H2">
        <v>0</v>
      </c>
      <c r="I2" t="s">
        <v>10</v>
      </c>
    </row>
    <row r="3" spans="1:9" x14ac:dyDescent="0.3">
      <c r="A3">
        <v>12</v>
      </c>
      <c r="B3" t="s">
        <v>45</v>
      </c>
      <c r="C3">
        <v>0.78324939999999998</v>
      </c>
      <c r="D3">
        <v>27.530259999999998</v>
      </c>
      <c r="E3">
        <v>0.35981000000000002</v>
      </c>
      <c r="F3">
        <v>0.45938109999999999</v>
      </c>
      <c r="G3">
        <v>0</v>
      </c>
      <c r="H3">
        <v>0</v>
      </c>
      <c r="I3" t="s">
        <v>12</v>
      </c>
    </row>
    <row r="4" spans="1:9" x14ac:dyDescent="0.3">
      <c r="A4">
        <v>12</v>
      </c>
      <c r="B4" t="s">
        <v>46</v>
      </c>
      <c r="C4">
        <v>0.87585480000000004</v>
      </c>
      <c r="D4">
        <v>22.450530000000001</v>
      </c>
      <c r="E4">
        <v>0.17636679999999999</v>
      </c>
      <c r="F4">
        <v>0.2013653</v>
      </c>
      <c r="G4">
        <v>0</v>
      </c>
      <c r="H4">
        <v>0</v>
      </c>
      <c r="I4" t="s">
        <v>14</v>
      </c>
    </row>
    <row r="5" spans="1:9" x14ac:dyDescent="0.3">
      <c r="A5">
        <v>12</v>
      </c>
      <c r="B5" t="s">
        <v>25</v>
      </c>
      <c r="C5">
        <v>0.98554750000000002</v>
      </c>
      <c r="D5">
        <v>33.601089999999999</v>
      </c>
      <c r="E5">
        <v>0.70698070000000002</v>
      </c>
      <c r="F5">
        <v>0.71734819999999999</v>
      </c>
      <c r="G5">
        <v>0</v>
      </c>
      <c r="H5">
        <v>0</v>
      </c>
      <c r="I5" t="s">
        <v>16</v>
      </c>
    </row>
    <row r="6" spans="1:9" x14ac:dyDescent="0.3">
      <c r="A6">
        <v>12</v>
      </c>
      <c r="B6" t="s">
        <v>26</v>
      </c>
      <c r="C6">
        <v>1.330586</v>
      </c>
      <c r="D6">
        <v>37.812539999999998</v>
      </c>
      <c r="E6">
        <v>0.84500240000000004</v>
      </c>
      <c r="F6">
        <v>0.63506039999999997</v>
      </c>
      <c r="G6">
        <v>0</v>
      </c>
      <c r="H6">
        <v>0</v>
      </c>
      <c r="I6" t="s">
        <v>18</v>
      </c>
    </row>
    <row r="7" spans="1:9" x14ac:dyDescent="0.3">
      <c r="A7">
        <v>12</v>
      </c>
      <c r="B7" t="s">
        <v>27</v>
      </c>
      <c r="C7">
        <v>1.835331</v>
      </c>
      <c r="D7">
        <v>35.205399999999997</v>
      </c>
      <c r="E7">
        <v>1.0724800000000001</v>
      </c>
      <c r="F7">
        <v>0.58435250000000005</v>
      </c>
      <c r="G7">
        <v>0</v>
      </c>
      <c r="H7">
        <v>0</v>
      </c>
      <c r="I7" t="s">
        <v>20</v>
      </c>
    </row>
    <row r="8" spans="1:9" x14ac:dyDescent="0.3">
      <c r="A8">
        <v>12</v>
      </c>
      <c r="B8" t="s">
        <v>28</v>
      </c>
      <c r="C8">
        <v>2.541776</v>
      </c>
      <c r="D8">
        <v>21.25562</v>
      </c>
      <c r="E8">
        <v>0.66831070000000004</v>
      </c>
      <c r="F8">
        <v>0.26293060000000001</v>
      </c>
      <c r="G8">
        <v>0</v>
      </c>
      <c r="H8">
        <v>0</v>
      </c>
      <c r="I8" t="s">
        <v>22</v>
      </c>
    </row>
    <row r="9" spans="1:9" x14ac:dyDescent="0.3">
      <c r="A9">
        <v>13</v>
      </c>
      <c r="B9" t="s">
        <v>47</v>
      </c>
      <c r="C9">
        <v>1.683554</v>
      </c>
      <c r="D9">
        <v>32.425840000000001</v>
      </c>
      <c r="E9">
        <v>0.86365579999999997</v>
      </c>
      <c r="F9">
        <v>0.5129956</v>
      </c>
      <c r="G9">
        <v>0</v>
      </c>
      <c r="H9">
        <v>0</v>
      </c>
      <c r="I9" t="s">
        <v>10</v>
      </c>
    </row>
    <row r="10" spans="1:9" x14ac:dyDescent="0.3">
      <c r="A10">
        <v>13</v>
      </c>
      <c r="B10" t="s">
        <v>48</v>
      </c>
      <c r="C10">
        <v>0.74888010000000005</v>
      </c>
      <c r="D10">
        <v>35.133879999999998</v>
      </c>
      <c r="E10">
        <v>0.40170450000000002</v>
      </c>
      <c r="F10">
        <v>0.53640690000000002</v>
      </c>
      <c r="G10">
        <v>0</v>
      </c>
      <c r="H10">
        <v>0</v>
      </c>
      <c r="I10" t="s">
        <v>12</v>
      </c>
    </row>
    <row r="11" spans="1:9" x14ac:dyDescent="0.3">
      <c r="A11">
        <v>13</v>
      </c>
      <c r="B11" t="s">
        <v>49</v>
      </c>
      <c r="C11">
        <v>1.894747</v>
      </c>
      <c r="D11">
        <v>49.581670000000003</v>
      </c>
      <c r="E11">
        <v>0.88760079999999997</v>
      </c>
      <c r="F11">
        <v>0.46845350000000002</v>
      </c>
      <c r="G11">
        <v>0</v>
      </c>
      <c r="H11">
        <v>0</v>
      </c>
      <c r="I11" t="s">
        <v>14</v>
      </c>
    </row>
    <row r="12" spans="1:9" x14ac:dyDescent="0.3">
      <c r="A12">
        <v>13</v>
      </c>
      <c r="B12" t="s">
        <v>50</v>
      </c>
      <c r="C12">
        <v>0.60414789999999996</v>
      </c>
      <c r="D12">
        <v>63.47974</v>
      </c>
      <c r="E12">
        <v>0.60414789999999996</v>
      </c>
      <c r="F12">
        <v>1</v>
      </c>
      <c r="G12">
        <v>0</v>
      </c>
      <c r="H12">
        <v>1</v>
      </c>
      <c r="I12" t="s">
        <v>16</v>
      </c>
    </row>
    <row r="13" spans="1:9" x14ac:dyDescent="0.3">
      <c r="A13">
        <v>14</v>
      </c>
      <c r="B13" t="s">
        <v>51</v>
      </c>
      <c r="C13">
        <v>2.591548</v>
      </c>
      <c r="D13">
        <v>33.685940000000002</v>
      </c>
      <c r="E13">
        <v>1.0823940000000001</v>
      </c>
      <c r="F13">
        <v>0.4176629</v>
      </c>
      <c r="G13">
        <v>0</v>
      </c>
      <c r="H13">
        <v>1</v>
      </c>
      <c r="I13" t="s">
        <v>10</v>
      </c>
    </row>
    <row r="14" spans="1:9" x14ac:dyDescent="0.3">
      <c r="A14">
        <v>15</v>
      </c>
      <c r="B14" t="s">
        <v>52</v>
      </c>
      <c r="C14">
        <v>1.846563</v>
      </c>
      <c r="D14">
        <v>25.396899999999999</v>
      </c>
      <c r="E14">
        <v>0.68461130000000003</v>
      </c>
      <c r="F14">
        <v>0.37074889999999999</v>
      </c>
      <c r="G14">
        <v>0</v>
      </c>
      <c r="H14">
        <v>0</v>
      </c>
      <c r="I14" t="s">
        <v>10</v>
      </c>
    </row>
    <row r="15" spans="1:9" x14ac:dyDescent="0.3">
      <c r="A15">
        <v>15</v>
      </c>
      <c r="B15" t="s">
        <v>53</v>
      </c>
      <c r="C15">
        <v>0.35942930000000001</v>
      </c>
      <c r="D15">
        <v>3.7696559999999999</v>
      </c>
      <c r="E15">
        <v>0</v>
      </c>
      <c r="F15">
        <v>0</v>
      </c>
      <c r="G15">
        <v>0</v>
      </c>
      <c r="H15">
        <v>0</v>
      </c>
      <c r="I15" t="s">
        <v>12</v>
      </c>
    </row>
    <row r="16" spans="1:9" x14ac:dyDescent="0.3">
      <c r="A16">
        <v>15</v>
      </c>
      <c r="B16" t="s">
        <v>54</v>
      </c>
      <c r="C16">
        <v>1.109934</v>
      </c>
      <c r="D16">
        <v>11.42754</v>
      </c>
      <c r="E16">
        <v>0</v>
      </c>
      <c r="F16">
        <v>0</v>
      </c>
      <c r="G16">
        <v>0</v>
      </c>
      <c r="H16">
        <v>0</v>
      </c>
      <c r="I16" t="s">
        <v>14</v>
      </c>
    </row>
    <row r="17" spans="1:9" x14ac:dyDescent="0.3">
      <c r="A17">
        <v>15</v>
      </c>
      <c r="B17" t="s">
        <v>55</v>
      </c>
      <c r="C17">
        <v>1.0853079999999999</v>
      </c>
      <c r="D17">
        <v>20.149740000000001</v>
      </c>
      <c r="E17">
        <v>6.2999200000000005E-2</v>
      </c>
      <c r="F17">
        <v>5.8047300000000003E-2</v>
      </c>
      <c r="G17">
        <v>0</v>
      </c>
      <c r="H17">
        <v>0</v>
      </c>
      <c r="I17" t="s">
        <v>16</v>
      </c>
    </row>
    <row r="18" spans="1:9" x14ac:dyDescent="0.3">
      <c r="A18">
        <v>15</v>
      </c>
      <c r="B18" t="s">
        <v>107</v>
      </c>
      <c r="C18">
        <v>1.6768749999999999</v>
      </c>
      <c r="D18">
        <v>25.27582</v>
      </c>
      <c r="E18">
        <v>0.51673239999999998</v>
      </c>
      <c r="F18">
        <v>0.30815199999999998</v>
      </c>
      <c r="G18">
        <v>0</v>
      </c>
      <c r="H18">
        <v>0</v>
      </c>
      <c r="I18" t="s">
        <v>18</v>
      </c>
    </row>
    <row r="19" spans="1:9" x14ac:dyDescent="0.3">
      <c r="A19">
        <v>15</v>
      </c>
      <c r="B19" t="s">
        <v>108</v>
      </c>
      <c r="C19">
        <v>1.613939</v>
      </c>
      <c r="D19">
        <v>19.047249999999998</v>
      </c>
      <c r="E19">
        <v>0.36178129999999997</v>
      </c>
      <c r="F19">
        <v>0.22416040000000001</v>
      </c>
      <c r="G19">
        <v>0</v>
      </c>
      <c r="H19">
        <v>0</v>
      </c>
      <c r="I19" t="s">
        <v>20</v>
      </c>
    </row>
    <row r="20" spans="1:9" x14ac:dyDescent="0.3">
      <c r="A20">
        <v>15</v>
      </c>
      <c r="B20" t="s">
        <v>109</v>
      </c>
      <c r="C20">
        <v>0.93203119999999995</v>
      </c>
      <c r="D20">
        <v>13.788460000000001</v>
      </c>
      <c r="E20">
        <v>0</v>
      </c>
      <c r="F20">
        <v>0</v>
      </c>
      <c r="G20">
        <v>0</v>
      </c>
      <c r="H20">
        <v>0</v>
      </c>
      <c r="I20" t="s">
        <v>22</v>
      </c>
    </row>
    <row r="21" spans="1:9" x14ac:dyDescent="0.3">
      <c r="A21">
        <v>15</v>
      </c>
      <c r="B21" t="s">
        <v>110</v>
      </c>
      <c r="C21">
        <v>2.2669009999999998</v>
      </c>
      <c r="D21">
        <v>98.919489999999996</v>
      </c>
      <c r="E21">
        <v>2.2669009999999998</v>
      </c>
      <c r="F21">
        <v>1</v>
      </c>
      <c r="G21">
        <v>0</v>
      </c>
      <c r="H21">
        <v>0</v>
      </c>
      <c r="I21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7</v>
      </c>
      <c r="B2" t="s">
        <v>17</v>
      </c>
      <c r="C2">
        <v>1.8059069999999999</v>
      </c>
      <c r="D2">
        <v>36.655670000000001</v>
      </c>
      <c r="E2">
        <v>1.315674</v>
      </c>
      <c r="F2">
        <v>0.72853950000000001</v>
      </c>
      <c r="G2">
        <v>0</v>
      </c>
      <c r="H2">
        <v>1</v>
      </c>
      <c r="I2" t="s">
        <v>10</v>
      </c>
    </row>
    <row r="3" spans="1:9" x14ac:dyDescent="0.3">
      <c r="A3">
        <v>8</v>
      </c>
      <c r="B3" t="s">
        <v>19</v>
      </c>
      <c r="C3">
        <v>1.4716769999999999</v>
      </c>
      <c r="D3">
        <v>22.93515</v>
      </c>
      <c r="E3">
        <v>0.39662969999999997</v>
      </c>
      <c r="F3">
        <v>0.26950869999999999</v>
      </c>
      <c r="G3">
        <v>0</v>
      </c>
      <c r="H3">
        <v>0</v>
      </c>
      <c r="I3" t="s">
        <v>10</v>
      </c>
    </row>
    <row r="4" spans="1:9" x14ac:dyDescent="0.3">
      <c r="A4">
        <v>8</v>
      </c>
      <c r="B4" t="s">
        <v>21</v>
      </c>
      <c r="C4">
        <v>1.1087579999999999</v>
      </c>
      <c r="D4">
        <v>22.311119999999999</v>
      </c>
      <c r="E4">
        <v>0</v>
      </c>
      <c r="F4">
        <v>0</v>
      </c>
      <c r="G4">
        <v>0</v>
      </c>
      <c r="H4">
        <v>0</v>
      </c>
      <c r="I4" t="s">
        <v>12</v>
      </c>
    </row>
    <row r="5" spans="1:9" x14ac:dyDescent="0.3">
      <c r="A5">
        <v>8</v>
      </c>
      <c r="B5" t="s">
        <v>23</v>
      </c>
      <c r="C5">
        <v>1.6160920000000001</v>
      </c>
      <c r="D5">
        <v>31.307189999999999</v>
      </c>
      <c r="E5">
        <v>0.6651338</v>
      </c>
      <c r="F5">
        <v>0.41156920000000002</v>
      </c>
      <c r="G5">
        <v>0</v>
      </c>
      <c r="H5">
        <v>0</v>
      </c>
      <c r="I5" t="s">
        <v>14</v>
      </c>
    </row>
    <row r="6" spans="1:9" x14ac:dyDescent="0.3">
      <c r="A6">
        <v>8</v>
      </c>
      <c r="B6" t="s">
        <v>33</v>
      </c>
      <c r="C6">
        <v>1.552138</v>
      </c>
      <c r="D6">
        <v>9.8526790000000002</v>
      </c>
      <c r="E6">
        <v>0</v>
      </c>
      <c r="F6">
        <v>0</v>
      </c>
      <c r="G6">
        <v>0</v>
      </c>
      <c r="H6">
        <v>0</v>
      </c>
      <c r="I6" t="s">
        <v>16</v>
      </c>
    </row>
    <row r="7" spans="1:9" x14ac:dyDescent="0.3">
      <c r="A7">
        <v>8</v>
      </c>
      <c r="B7" t="s">
        <v>34</v>
      </c>
      <c r="C7">
        <v>0.23258899999999999</v>
      </c>
      <c r="D7">
        <v>29.92887</v>
      </c>
      <c r="E7">
        <v>0.1181683</v>
      </c>
      <c r="F7">
        <v>0.50805630000000002</v>
      </c>
      <c r="G7">
        <v>0</v>
      </c>
      <c r="H7">
        <v>1</v>
      </c>
      <c r="I7" t="s">
        <v>18</v>
      </c>
    </row>
    <row r="8" spans="1:9" x14ac:dyDescent="0.3">
      <c r="A8">
        <v>9</v>
      </c>
      <c r="B8" t="s">
        <v>35</v>
      </c>
      <c r="C8">
        <v>1.39127</v>
      </c>
      <c r="D8">
        <v>22.84759</v>
      </c>
      <c r="E8">
        <v>0.33622980000000002</v>
      </c>
      <c r="F8">
        <v>0.2416712</v>
      </c>
      <c r="G8">
        <v>0</v>
      </c>
      <c r="H8">
        <v>0</v>
      </c>
      <c r="I8" t="s">
        <v>10</v>
      </c>
    </row>
    <row r="9" spans="1:9" x14ac:dyDescent="0.3">
      <c r="A9">
        <v>9</v>
      </c>
      <c r="B9" t="s">
        <v>36</v>
      </c>
      <c r="C9">
        <v>1.51105</v>
      </c>
      <c r="D9">
        <v>28.03988</v>
      </c>
      <c r="E9">
        <v>0.47807650000000002</v>
      </c>
      <c r="F9">
        <v>0.31638690000000003</v>
      </c>
      <c r="G9">
        <v>0</v>
      </c>
      <c r="H9">
        <v>0</v>
      </c>
      <c r="I9" t="s">
        <v>12</v>
      </c>
    </row>
    <row r="10" spans="1:9" x14ac:dyDescent="0.3">
      <c r="A10">
        <v>9</v>
      </c>
      <c r="B10" t="s">
        <v>37</v>
      </c>
      <c r="C10">
        <v>1.646298</v>
      </c>
      <c r="D10">
        <v>34.7378</v>
      </c>
      <c r="E10">
        <v>0.85560349999999996</v>
      </c>
      <c r="F10">
        <v>0.5197136</v>
      </c>
      <c r="G10">
        <v>0</v>
      </c>
      <c r="H10">
        <v>1</v>
      </c>
      <c r="I10" t="s">
        <v>14</v>
      </c>
    </row>
    <row r="11" spans="1:9" x14ac:dyDescent="0.3">
      <c r="A11">
        <v>10</v>
      </c>
      <c r="B11" t="s">
        <v>38</v>
      </c>
      <c r="C11">
        <v>1.3982939999999999</v>
      </c>
      <c r="D11">
        <v>19.39837</v>
      </c>
      <c r="E11">
        <v>0.36334450000000001</v>
      </c>
      <c r="F11">
        <v>0.25984849999999998</v>
      </c>
      <c r="G11">
        <v>0</v>
      </c>
      <c r="H11">
        <v>0</v>
      </c>
      <c r="I11" t="s">
        <v>10</v>
      </c>
    </row>
    <row r="12" spans="1:9" x14ac:dyDescent="0.3">
      <c r="A12">
        <v>10</v>
      </c>
      <c r="B12" t="s">
        <v>39</v>
      </c>
      <c r="C12">
        <v>1.2572970000000001</v>
      </c>
      <c r="D12">
        <v>20.427600000000002</v>
      </c>
      <c r="E12">
        <v>4.6734999999999999E-2</v>
      </c>
      <c r="F12">
        <v>3.7171009999999997E-2</v>
      </c>
      <c r="G12">
        <v>0</v>
      </c>
      <c r="H12">
        <v>0</v>
      </c>
      <c r="I12" t="s">
        <v>12</v>
      </c>
    </row>
    <row r="13" spans="1:9" x14ac:dyDescent="0.3">
      <c r="A13">
        <v>10</v>
      </c>
      <c r="B13" t="s">
        <v>40</v>
      </c>
      <c r="C13">
        <v>1.7787679999999999</v>
      </c>
      <c r="D13">
        <v>37.227809999999998</v>
      </c>
      <c r="E13">
        <v>0.71821959999999996</v>
      </c>
      <c r="F13">
        <v>0.40377370000000001</v>
      </c>
      <c r="G13">
        <v>0</v>
      </c>
      <c r="H13">
        <v>1</v>
      </c>
      <c r="I13" t="s">
        <v>14</v>
      </c>
    </row>
    <row r="14" spans="1:9" x14ac:dyDescent="0.3">
      <c r="A14">
        <v>11</v>
      </c>
      <c r="B14" t="s">
        <v>41</v>
      </c>
      <c r="C14">
        <v>2.824624</v>
      </c>
      <c r="D14">
        <v>32.208100000000002</v>
      </c>
      <c r="E14">
        <v>1.16814</v>
      </c>
      <c r="F14">
        <v>0.41355599999999998</v>
      </c>
      <c r="G14">
        <v>0</v>
      </c>
      <c r="H14">
        <v>1</v>
      </c>
      <c r="I14" t="s">
        <v>10</v>
      </c>
    </row>
    <row r="15" spans="1:9" x14ac:dyDescent="0.3">
      <c r="A15">
        <v>12</v>
      </c>
      <c r="B15" t="s">
        <v>42</v>
      </c>
      <c r="C15">
        <v>1.24823</v>
      </c>
      <c r="D15">
        <v>22.791540000000001</v>
      </c>
      <c r="E15">
        <v>0.41445609999999999</v>
      </c>
      <c r="F15">
        <v>0.33203510000000003</v>
      </c>
      <c r="G15">
        <v>0</v>
      </c>
      <c r="H15">
        <v>0</v>
      </c>
      <c r="I15" t="s">
        <v>10</v>
      </c>
    </row>
    <row r="16" spans="1:9" x14ac:dyDescent="0.3">
      <c r="A16">
        <v>12</v>
      </c>
      <c r="B16" t="s">
        <v>43</v>
      </c>
      <c r="C16">
        <v>1.506589</v>
      </c>
      <c r="D16">
        <v>36.462780000000002</v>
      </c>
      <c r="E16">
        <v>0.68942130000000001</v>
      </c>
      <c r="F16">
        <v>0.45760410000000001</v>
      </c>
      <c r="G16">
        <v>0</v>
      </c>
      <c r="H16">
        <v>0</v>
      </c>
      <c r="I16" t="s">
        <v>12</v>
      </c>
    </row>
    <row r="17" spans="1:9" x14ac:dyDescent="0.3">
      <c r="A17">
        <v>12</v>
      </c>
      <c r="B17" t="s">
        <v>44</v>
      </c>
      <c r="C17">
        <v>2.162782</v>
      </c>
      <c r="D17">
        <v>65.619330000000005</v>
      </c>
      <c r="E17">
        <v>1.147783</v>
      </c>
      <c r="F17">
        <v>0.53069750000000004</v>
      </c>
      <c r="G17">
        <v>0</v>
      </c>
      <c r="H17">
        <v>1</v>
      </c>
      <c r="I17" t="s">
        <v>14</v>
      </c>
    </row>
    <row r="18" spans="1:9" x14ac:dyDescent="0.3">
      <c r="A18">
        <v>13</v>
      </c>
      <c r="B18" t="s">
        <v>45</v>
      </c>
      <c r="C18">
        <v>1.575677</v>
      </c>
      <c r="D18">
        <v>34.271120000000003</v>
      </c>
      <c r="E18">
        <v>0.87298089999999995</v>
      </c>
      <c r="F18">
        <v>0.55403539999999996</v>
      </c>
      <c r="G18">
        <v>0</v>
      </c>
      <c r="H18">
        <v>0</v>
      </c>
      <c r="I18" t="s">
        <v>10</v>
      </c>
    </row>
    <row r="19" spans="1:9" x14ac:dyDescent="0.3">
      <c r="A19">
        <v>14</v>
      </c>
      <c r="B19" t="s">
        <v>25</v>
      </c>
      <c r="C19">
        <v>1.684005</v>
      </c>
      <c r="D19">
        <v>39.898119999999999</v>
      </c>
      <c r="E19">
        <v>0.88219769999999997</v>
      </c>
      <c r="F19">
        <v>0.52386860000000002</v>
      </c>
      <c r="G19">
        <v>0</v>
      </c>
      <c r="H19">
        <v>1</v>
      </c>
      <c r="I19" t="s">
        <v>10</v>
      </c>
    </row>
    <row r="20" spans="1:9" x14ac:dyDescent="0.3">
      <c r="A20">
        <v>14</v>
      </c>
      <c r="B20" t="s">
        <v>26</v>
      </c>
      <c r="C20">
        <v>1.256656</v>
      </c>
      <c r="D20">
        <v>20.17398</v>
      </c>
      <c r="E20">
        <v>0.35082439999999998</v>
      </c>
      <c r="F20">
        <v>0.279173</v>
      </c>
      <c r="G20">
        <v>0</v>
      </c>
      <c r="H20">
        <v>0</v>
      </c>
      <c r="I20" t="s">
        <v>12</v>
      </c>
    </row>
    <row r="21" spans="1:9" x14ac:dyDescent="0.3">
      <c r="A21">
        <v>14</v>
      </c>
      <c r="B21" t="s">
        <v>27</v>
      </c>
      <c r="C21">
        <v>1.2266170000000001</v>
      </c>
      <c r="D21">
        <v>19.699290000000001</v>
      </c>
      <c r="E21">
        <v>0.242094</v>
      </c>
      <c r="F21">
        <v>0.19736719999999999</v>
      </c>
      <c r="G21">
        <v>0</v>
      </c>
      <c r="H21">
        <v>0</v>
      </c>
      <c r="I21" t="s">
        <v>14</v>
      </c>
    </row>
    <row r="22" spans="1:9" x14ac:dyDescent="0.3">
      <c r="A22">
        <v>14</v>
      </c>
      <c r="B22" t="s">
        <v>28</v>
      </c>
      <c r="C22">
        <v>2.1329280000000002</v>
      </c>
      <c r="D22">
        <v>23.125409999999999</v>
      </c>
      <c r="E22">
        <v>0.42447649999999998</v>
      </c>
      <c r="F22">
        <v>0.1990112</v>
      </c>
      <c r="G22">
        <v>0</v>
      </c>
      <c r="H22">
        <v>0</v>
      </c>
      <c r="I22" t="s">
        <v>16</v>
      </c>
    </row>
    <row r="23" spans="1:9" x14ac:dyDescent="0.3">
      <c r="A23">
        <v>15</v>
      </c>
      <c r="B23" t="s">
        <v>30</v>
      </c>
      <c r="C23">
        <v>1.3263240000000001</v>
      </c>
      <c r="D23">
        <v>32.676650000000002</v>
      </c>
      <c r="E23">
        <v>0.51455130000000004</v>
      </c>
      <c r="F23">
        <v>0.38795299999999999</v>
      </c>
      <c r="G23">
        <v>0</v>
      </c>
      <c r="H23">
        <v>1</v>
      </c>
      <c r="I23" t="s">
        <v>10</v>
      </c>
    </row>
    <row r="24" spans="1:9" x14ac:dyDescent="0.3">
      <c r="A24">
        <v>15</v>
      </c>
      <c r="B24" t="s">
        <v>31</v>
      </c>
      <c r="C24">
        <v>1.2094990000000001</v>
      </c>
      <c r="D24">
        <v>26.28426</v>
      </c>
      <c r="E24">
        <v>0.46294249999999998</v>
      </c>
      <c r="F24">
        <v>0.38275550000000003</v>
      </c>
      <c r="G24">
        <v>0</v>
      </c>
      <c r="H24">
        <v>0</v>
      </c>
      <c r="I24" t="s">
        <v>12</v>
      </c>
    </row>
    <row r="25" spans="1:9" x14ac:dyDescent="0.3">
      <c r="A25">
        <v>15</v>
      </c>
      <c r="B25" t="s">
        <v>32</v>
      </c>
      <c r="C25">
        <v>1.9697100000000001</v>
      </c>
      <c r="D25">
        <v>44.209739999999996</v>
      </c>
      <c r="E25">
        <v>1.044867</v>
      </c>
      <c r="F25">
        <v>0.53046729999999997</v>
      </c>
      <c r="G25">
        <v>0</v>
      </c>
      <c r="H25">
        <v>1</v>
      </c>
      <c r="I25" t="s">
        <v>14</v>
      </c>
    </row>
    <row r="26" spans="1:9" x14ac:dyDescent="0.3">
      <c r="A26">
        <v>17</v>
      </c>
      <c r="B26" t="s">
        <v>48</v>
      </c>
      <c r="C26">
        <v>1.5243279999999999</v>
      </c>
      <c r="D26">
        <v>19.31176</v>
      </c>
      <c r="E26">
        <v>0.37480210000000003</v>
      </c>
      <c r="F26">
        <v>0.2458803</v>
      </c>
      <c r="G26">
        <v>0</v>
      </c>
      <c r="H26">
        <v>1</v>
      </c>
      <c r="I26" t="s">
        <v>10</v>
      </c>
    </row>
    <row r="27" spans="1:9" x14ac:dyDescent="0.3">
      <c r="A27">
        <v>17</v>
      </c>
      <c r="B27" t="s">
        <v>49</v>
      </c>
      <c r="C27">
        <v>1.2959240000000001</v>
      </c>
      <c r="D27">
        <v>17.524319999999999</v>
      </c>
      <c r="E27">
        <v>0</v>
      </c>
      <c r="F27">
        <v>0</v>
      </c>
      <c r="G27">
        <v>0</v>
      </c>
      <c r="H27">
        <v>0</v>
      </c>
      <c r="I27" t="s">
        <v>12</v>
      </c>
    </row>
    <row r="28" spans="1:9" x14ac:dyDescent="0.3">
      <c r="A28">
        <v>17</v>
      </c>
      <c r="B28" t="s">
        <v>50</v>
      </c>
      <c r="C28">
        <v>4.3279199999999998</v>
      </c>
      <c r="D28">
        <v>62.282499999999999</v>
      </c>
      <c r="E28">
        <v>3.3816440000000001</v>
      </c>
      <c r="F28">
        <v>0.78135560000000004</v>
      </c>
      <c r="G28">
        <v>0</v>
      </c>
      <c r="H28">
        <v>1</v>
      </c>
      <c r="I28" t="s">
        <v>14</v>
      </c>
    </row>
    <row r="29" spans="1:9" x14ac:dyDescent="0.3">
      <c r="A29">
        <v>18</v>
      </c>
      <c r="B29" t="s">
        <v>51</v>
      </c>
      <c r="C29">
        <v>1.542643</v>
      </c>
      <c r="D29">
        <v>22.083069999999999</v>
      </c>
      <c r="E29">
        <v>0.32821020000000001</v>
      </c>
      <c r="F29">
        <v>0.21275839999999999</v>
      </c>
      <c r="G29">
        <v>0</v>
      </c>
      <c r="H29">
        <v>0</v>
      </c>
      <c r="I29" t="s">
        <v>10</v>
      </c>
    </row>
    <row r="30" spans="1:9" x14ac:dyDescent="0.3">
      <c r="A30">
        <v>18</v>
      </c>
      <c r="B30" t="s">
        <v>52</v>
      </c>
      <c r="C30">
        <v>1.645902</v>
      </c>
      <c r="D30">
        <v>26.72382</v>
      </c>
      <c r="E30">
        <v>0.54946090000000003</v>
      </c>
      <c r="F30">
        <v>0.33383570000000001</v>
      </c>
      <c r="G30">
        <v>0</v>
      </c>
      <c r="H30">
        <v>0</v>
      </c>
      <c r="I30" t="s">
        <v>12</v>
      </c>
    </row>
    <row r="31" spans="1:9" x14ac:dyDescent="0.3">
      <c r="A31">
        <v>18</v>
      </c>
      <c r="B31" t="s">
        <v>53</v>
      </c>
      <c r="C31">
        <v>1.5821510000000001</v>
      </c>
      <c r="D31">
        <v>34.878230000000002</v>
      </c>
      <c r="E31">
        <v>1.07585</v>
      </c>
      <c r="F31">
        <v>0.67999169999999998</v>
      </c>
      <c r="G31">
        <v>0</v>
      </c>
      <c r="H31">
        <v>0</v>
      </c>
      <c r="I31" t="s">
        <v>14</v>
      </c>
    </row>
    <row r="32" spans="1:9" x14ac:dyDescent="0.3">
      <c r="A32">
        <v>18</v>
      </c>
      <c r="B32" t="s">
        <v>54</v>
      </c>
      <c r="C32">
        <v>1.8298110000000001</v>
      </c>
      <c r="D32">
        <v>29.415389999999999</v>
      </c>
      <c r="E32">
        <v>0.68600459999999996</v>
      </c>
      <c r="F32">
        <v>0.37490449999999997</v>
      </c>
      <c r="G32">
        <v>0</v>
      </c>
      <c r="H32">
        <v>0</v>
      </c>
      <c r="I32" t="s">
        <v>16</v>
      </c>
    </row>
    <row r="33" spans="1:9" x14ac:dyDescent="0.3">
      <c r="A33">
        <v>18</v>
      </c>
      <c r="B33" t="s">
        <v>55</v>
      </c>
      <c r="C33">
        <v>1.714291</v>
      </c>
      <c r="D33">
        <v>22.960339999999999</v>
      </c>
      <c r="E33">
        <v>0.41786640000000003</v>
      </c>
      <c r="F33">
        <v>0.24375459999999999</v>
      </c>
      <c r="G33">
        <v>0</v>
      </c>
      <c r="H33">
        <v>0</v>
      </c>
      <c r="I33" t="s">
        <v>18</v>
      </c>
    </row>
    <row r="34" spans="1:9" x14ac:dyDescent="0.3">
      <c r="A34">
        <v>18</v>
      </c>
      <c r="B34" t="s">
        <v>107</v>
      </c>
      <c r="C34">
        <v>2.1304590000000001</v>
      </c>
      <c r="D34">
        <v>25.849499999999999</v>
      </c>
      <c r="E34">
        <v>0.74681200000000003</v>
      </c>
      <c r="F34">
        <v>0.35054039999999997</v>
      </c>
      <c r="G34">
        <v>0</v>
      </c>
      <c r="H34">
        <v>0</v>
      </c>
      <c r="I34" t="s">
        <v>20</v>
      </c>
    </row>
    <row r="35" spans="1:9" x14ac:dyDescent="0.3">
      <c r="A35">
        <v>18</v>
      </c>
      <c r="B35" t="s">
        <v>108</v>
      </c>
      <c r="C35">
        <v>1.887202</v>
      </c>
      <c r="D35">
        <v>23.100529999999999</v>
      </c>
      <c r="E35">
        <v>0.47964830000000003</v>
      </c>
      <c r="F35">
        <v>0.25415840000000001</v>
      </c>
      <c r="G35">
        <v>0</v>
      </c>
      <c r="H35">
        <v>0</v>
      </c>
      <c r="I35" t="s">
        <v>22</v>
      </c>
    </row>
    <row r="36" spans="1:9" x14ac:dyDescent="0.3">
      <c r="A36">
        <v>18</v>
      </c>
      <c r="B36" t="s">
        <v>109</v>
      </c>
      <c r="C36">
        <v>2.208259</v>
      </c>
      <c r="D36">
        <v>73.479929999999996</v>
      </c>
      <c r="E36">
        <v>1.470289</v>
      </c>
      <c r="F36">
        <v>0.66581369999999995</v>
      </c>
      <c r="G36">
        <v>0</v>
      </c>
      <c r="H36">
        <v>0</v>
      </c>
      <c r="I36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</v>
      </c>
      <c r="B2" t="s">
        <v>46</v>
      </c>
      <c r="C2">
        <v>0.41291670000000003</v>
      </c>
      <c r="D2">
        <v>30.19716</v>
      </c>
      <c r="E2">
        <v>0.2020885</v>
      </c>
      <c r="F2">
        <v>0.4894172</v>
      </c>
      <c r="G2">
        <v>0</v>
      </c>
      <c r="H2">
        <v>0</v>
      </c>
      <c r="I2" t="s">
        <v>10</v>
      </c>
    </row>
    <row r="3" spans="1:9" x14ac:dyDescent="0.3">
      <c r="A3">
        <v>10</v>
      </c>
      <c r="B3" t="s">
        <v>25</v>
      </c>
      <c r="C3">
        <v>0.76861570000000001</v>
      </c>
      <c r="D3">
        <v>23.000810000000001</v>
      </c>
      <c r="E3">
        <v>0.1632538</v>
      </c>
      <c r="F3">
        <v>0.2123998</v>
      </c>
      <c r="G3">
        <v>0</v>
      </c>
      <c r="H3">
        <v>0</v>
      </c>
      <c r="I3" t="s">
        <v>12</v>
      </c>
    </row>
    <row r="4" spans="1:9" x14ac:dyDescent="0.3">
      <c r="A4">
        <v>10</v>
      </c>
      <c r="B4" t="s">
        <v>26</v>
      </c>
      <c r="C4">
        <v>0.17864469999999999</v>
      </c>
      <c r="D4">
        <v>67.051370000000006</v>
      </c>
      <c r="E4">
        <v>0.17864469999999999</v>
      </c>
      <c r="F4">
        <v>1</v>
      </c>
      <c r="G4">
        <v>0</v>
      </c>
      <c r="H4">
        <v>1</v>
      </c>
      <c r="I4" t="s">
        <v>12</v>
      </c>
    </row>
    <row r="5" spans="1:9" x14ac:dyDescent="0.3">
      <c r="A5">
        <v>11</v>
      </c>
      <c r="B5" t="s">
        <v>27</v>
      </c>
      <c r="C5">
        <v>0.83369579999999999</v>
      </c>
      <c r="D5">
        <v>57.289749999999998</v>
      </c>
      <c r="E5">
        <v>0.56969199999999998</v>
      </c>
      <c r="F5">
        <v>0.68333310000000003</v>
      </c>
      <c r="G5">
        <v>0</v>
      </c>
      <c r="H5">
        <v>0</v>
      </c>
      <c r="I5" t="s">
        <v>10</v>
      </c>
    </row>
    <row r="6" spans="1:9" x14ac:dyDescent="0.3">
      <c r="A6">
        <v>11</v>
      </c>
      <c r="B6" t="s">
        <v>28</v>
      </c>
      <c r="C6">
        <v>0.70011540000000005</v>
      </c>
      <c r="D6">
        <v>49.58961</v>
      </c>
      <c r="E6">
        <v>0.51560150000000005</v>
      </c>
      <c r="F6">
        <v>0.7364522</v>
      </c>
      <c r="G6">
        <v>0</v>
      </c>
      <c r="H6">
        <v>0</v>
      </c>
      <c r="I6" t="s">
        <v>12</v>
      </c>
    </row>
    <row r="7" spans="1:9" x14ac:dyDescent="0.3">
      <c r="A7">
        <v>11</v>
      </c>
      <c r="B7" t="s">
        <v>29</v>
      </c>
      <c r="C7">
        <v>0.3677067</v>
      </c>
      <c r="D7">
        <v>22.791730000000001</v>
      </c>
      <c r="E7">
        <v>0</v>
      </c>
      <c r="F7">
        <v>0</v>
      </c>
      <c r="G7">
        <v>0</v>
      </c>
      <c r="H7">
        <v>0</v>
      </c>
      <c r="I7" t="s">
        <v>14</v>
      </c>
    </row>
    <row r="8" spans="1:9" x14ac:dyDescent="0.3">
      <c r="A8">
        <v>11</v>
      </c>
      <c r="B8" t="s">
        <v>30</v>
      </c>
      <c r="C8">
        <v>0.77852429999999995</v>
      </c>
      <c r="D8">
        <v>25.898050000000001</v>
      </c>
      <c r="E8">
        <v>0.3406594</v>
      </c>
      <c r="F8">
        <v>0.43757069999999998</v>
      </c>
      <c r="G8">
        <v>0</v>
      </c>
      <c r="H8">
        <v>0</v>
      </c>
      <c r="I8" t="s">
        <v>16</v>
      </c>
    </row>
    <row r="9" spans="1:9" x14ac:dyDescent="0.3">
      <c r="A9">
        <v>11</v>
      </c>
      <c r="B9" t="s">
        <v>31</v>
      </c>
      <c r="C9">
        <v>0.71219900000000003</v>
      </c>
      <c r="D9">
        <v>33.585880000000003</v>
      </c>
      <c r="E9">
        <v>0.39321610000000001</v>
      </c>
      <c r="F9">
        <v>0.55211540000000003</v>
      </c>
      <c r="G9">
        <v>0</v>
      </c>
      <c r="H9">
        <v>0</v>
      </c>
      <c r="I9" t="s">
        <v>18</v>
      </c>
    </row>
    <row r="10" spans="1:9" x14ac:dyDescent="0.3">
      <c r="A10">
        <v>11</v>
      </c>
      <c r="B10" t="s">
        <v>32</v>
      </c>
      <c r="C10">
        <v>0.79213409999999995</v>
      </c>
      <c r="D10">
        <v>32.554749999999999</v>
      </c>
      <c r="E10">
        <v>0.44604860000000002</v>
      </c>
      <c r="F10">
        <v>0.56309730000000002</v>
      </c>
      <c r="G10">
        <v>0</v>
      </c>
      <c r="H10">
        <v>0</v>
      </c>
      <c r="I10" t="s">
        <v>20</v>
      </c>
    </row>
    <row r="11" spans="1:9" x14ac:dyDescent="0.3">
      <c r="A11">
        <v>11</v>
      </c>
      <c r="B11" t="s">
        <v>47</v>
      </c>
      <c r="C11">
        <v>0.92264610000000002</v>
      </c>
      <c r="D11">
        <v>34.258310000000002</v>
      </c>
      <c r="E11">
        <v>0.50171180000000004</v>
      </c>
      <c r="F11">
        <v>0.54377500000000001</v>
      </c>
      <c r="G11">
        <v>0</v>
      </c>
      <c r="H11">
        <v>0</v>
      </c>
      <c r="I11" t="s">
        <v>22</v>
      </c>
    </row>
    <row r="12" spans="1:9" x14ac:dyDescent="0.3">
      <c r="A12">
        <v>11</v>
      </c>
      <c r="B12" t="s">
        <v>48</v>
      </c>
      <c r="C12">
        <v>1.574481</v>
      </c>
      <c r="D12">
        <v>98.855040000000002</v>
      </c>
      <c r="E12">
        <v>1.574481</v>
      </c>
      <c r="F12">
        <v>1</v>
      </c>
      <c r="G12">
        <v>0</v>
      </c>
      <c r="H12">
        <v>0</v>
      </c>
      <c r="I12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113</v>
      </c>
      <c r="C2">
        <v>1.4747189999999999</v>
      </c>
      <c r="D2">
        <v>25.709630000000001</v>
      </c>
      <c r="E2">
        <v>0.65485300000000002</v>
      </c>
      <c r="F2">
        <v>0.44405280000000003</v>
      </c>
      <c r="G2">
        <v>0</v>
      </c>
      <c r="H2">
        <v>0</v>
      </c>
      <c r="I2" t="s">
        <v>10</v>
      </c>
    </row>
    <row r="3" spans="1:9" x14ac:dyDescent="0.3">
      <c r="A3">
        <v>3</v>
      </c>
      <c r="B3" t="s">
        <v>114</v>
      </c>
      <c r="C3">
        <v>1.1369739999999999</v>
      </c>
      <c r="D3">
        <v>13.680619999999999</v>
      </c>
      <c r="E3">
        <v>0</v>
      </c>
      <c r="F3">
        <v>0</v>
      </c>
      <c r="G3">
        <v>0</v>
      </c>
      <c r="H3">
        <v>0</v>
      </c>
      <c r="I3" t="s">
        <v>12</v>
      </c>
    </row>
    <row r="4" spans="1:9" x14ac:dyDescent="0.3">
      <c r="A4">
        <v>3</v>
      </c>
      <c r="B4" t="s">
        <v>115</v>
      </c>
      <c r="C4">
        <v>1.133723</v>
      </c>
      <c r="D4">
        <v>15.64771</v>
      </c>
      <c r="E4">
        <v>0.14237649999999999</v>
      </c>
      <c r="F4">
        <v>0.1255831</v>
      </c>
      <c r="G4">
        <v>0</v>
      </c>
      <c r="H4">
        <v>0</v>
      </c>
      <c r="I4" t="s">
        <v>14</v>
      </c>
    </row>
    <row r="5" spans="1:9" x14ac:dyDescent="0.3">
      <c r="A5">
        <v>3</v>
      </c>
      <c r="B5" t="s">
        <v>116</v>
      </c>
      <c r="C5">
        <v>1.48319</v>
      </c>
      <c r="D5">
        <v>17.44866</v>
      </c>
      <c r="E5">
        <v>0</v>
      </c>
      <c r="F5">
        <v>0</v>
      </c>
      <c r="G5">
        <v>0</v>
      </c>
      <c r="H5">
        <v>0</v>
      </c>
      <c r="I5" t="s">
        <v>16</v>
      </c>
    </row>
    <row r="6" spans="1:9" x14ac:dyDescent="0.3">
      <c r="A6">
        <v>3</v>
      </c>
      <c r="B6" t="s">
        <v>117</v>
      </c>
      <c r="C6">
        <v>1.8822380000000001</v>
      </c>
      <c r="D6">
        <v>26.597300000000001</v>
      </c>
      <c r="E6">
        <v>0.50685990000000003</v>
      </c>
      <c r="F6">
        <v>0.26928570000000002</v>
      </c>
      <c r="G6">
        <v>0</v>
      </c>
      <c r="H6">
        <v>0</v>
      </c>
      <c r="I6" t="s">
        <v>18</v>
      </c>
    </row>
    <row r="7" spans="1:9" x14ac:dyDescent="0.3">
      <c r="A7">
        <v>3</v>
      </c>
      <c r="B7" t="s">
        <v>9</v>
      </c>
      <c r="C7">
        <v>2.1073490000000001</v>
      </c>
      <c r="D7">
        <v>32.979050000000001</v>
      </c>
      <c r="E7">
        <v>1.041317</v>
      </c>
      <c r="F7">
        <v>0.49413629999999997</v>
      </c>
      <c r="G7">
        <v>0</v>
      </c>
      <c r="H7">
        <v>0</v>
      </c>
      <c r="I7" t="s">
        <v>20</v>
      </c>
    </row>
    <row r="8" spans="1:9" x14ac:dyDescent="0.3">
      <c r="A8">
        <v>3</v>
      </c>
      <c r="B8" t="s">
        <v>11</v>
      </c>
      <c r="C8">
        <v>1.5786180000000001</v>
      </c>
      <c r="D8">
        <v>11.219440000000001</v>
      </c>
      <c r="E8">
        <v>0</v>
      </c>
      <c r="F8">
        <v>0</v>
      </c>
      <c r="G8">
        <v>0</v>
      </c>
      <c r="H8">
        <v>0</v>
      </c>
      <c r="I8" t="s">
        <v>22</v>
      </c>
    </row>
    <row r="9" spans="1:9" x14ac:dyDescent="0.3">
      <c r="A9">
        <v>3</v>
      </c>
      <c r="B9" t="s">
        <v>13</v>
      </c>
      <c r="C9">
        <v>1.915921</v>
      </c>
      <c r="D9">
        <v>75.143810000000002</v>
      </c>
      <c r="E9">
        <v>1.915921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 t="s">
        <v>15</v>
      </c>
      <c r="C2">
        <v>0.87380060000000004</v>
      </c>
      <c r="D2">
        <v>26.36712</v>
      </c>
      <c r="E2">
        <v>0.38854440000000001</v>
      </c>
      <c r="F2">
        <v>0.44466020000000001</v>
      </c>
      <c r="G2">
        <v>0</v>
      </c>
      <c r="H2">
        <v>0</v>
      </c>
      <c r="I2" t="s">
        <v>10</v>
      </c>
    </row>
    <row r="3" spans="1:9" x14ac:dyDescent="0.3">
      <c r="A3">
        <v>5</v>
      </c>
      <c r="B3" t="s">
        <v>17</v>
      </c>
      <c r="C3">
        <v>1.067107</v>
      </c>
      <c r="D3">
        <v>40.010330000000003</v>
      </c>
      <c r="E3">
        <v>0.70413159999999997</v>
      </c>
      <c r="F3">
        <v>0.65985110000000002</v>
      </c>
      <c r="G3">
        <v>0</v>
      </c>
      <c r="H3">
        <v>0</v>
      </c>
      <c r="I3" t="s">
        <v>12</v>
      </c>
    </row>
    <row r="4" spans="1:9" x14ac:dyDescent="0.3">
      <c r="A4">
        <v>5</v>
      </c>
      <c r="B4" t="s">
        <v>19</v>
      </c>
      <c r="C4">
        <v>1.16364</v>
      </c>
      <c r="D4">
        <v>30.61289</v>
      </c>
      <c r="E4">
        <v>0.59489099999999995</v>
      </c>
      <c r="F4">
        <v>0.51123280000000004</v>
      </c>
      <c r="G4">
        <v>0</v>
      </c>
      <c r="H4">
        <v>0</v>
      </c>
      <c r="I4" t="s">
        <v>14</v>
      </c>
    </row>
    <row r="5" spans="1:9" x14ac:dyDescent="0.3">
      <c r="A5">
        <v>5</v>
      </c>
      <c r="B5" t="s">
        <v>21</v>
      </c>
      <c r="C5">
        <v>1.479468</v>
      </c>
      <c r="D5">
        <v>22.185479999999998</v>
      </c>
      <c r="E5">
        <v>0.2925237</v>
      </c>
      <c r="F5">
        <v>0.19772219999999999</v>
      </c>
      <c r="G5">
        <v>0</v>
      </c>
      <c r="H5">
        <v>0</v>
      </c>
      <c r="I5" t="s">
        <v>16</v>
      </c>
    </row>
    <row r="6" spans="1:9" x14ac:dyDescent="0.3">
      <c r="A6">
        <v>5</v>
      </c>
      <c r="B6" t="s">
        <v>23</v>
      </c>
      <c r="C6">
        <v>1.42445</v>
      </c>
      <c r="D6">
        <v>26.95476</v>
      </c>
      <c r="E6">
        <v>0.62328450000000002</v>
      </c>
      <c r="F6">
        <v>0.43756149999999999</v>
      </c>
      <c r="G6">
        <v>0</v>
      </c>
      <c r="H6">
        <v>0</v>
      </c>
      <c r="I6" t="s">
        <v>18</v>
      </c>
    </row>
    <row r="7" spans="1:9" x14ac:dyDescent="0.3">
      <c r="A7">
        <v>5</v>
      </c>
      <c r="B7" t="s">
        <v>33</v>
      </c>
      <c r="C7">
        <v>1.3272189999999999</v>
      </c>
      <c r="D7">
        <v>25.498470000000001</v>
      </c>
      <c r="E7">
        <v>0.53092289999999998</v>
      </c>
      <c r="F7">
        <v>0.40002680000000002</v>
      </c>
      <c r="G7">
        <v>0</v>
      </c>
      <c r="H7">
        <v>0</v>
      </c>
      <c r="I7" t="s">
        <v>20</v>
      </c>
    </row>
    <row r="8" spans="1:9" x14ac:dyDescent="0.3">
      <c r="A8">
        <v>5</v>
      </c>
      <c r="B8" t="s">
        <v>34</v>
      </c>
      <c r="C8">
        <v>1.6503209999999999</v>
      </c>
      <c r="D8">
        <v>14.873430000000001</v>
      </c>
      <c r="E8">
        <v>0.22867989999999999</v>
      </c>
      <c r="F8">
        <v>0.13856689999999999</v>
      </c>
      <c r="G8">
        <v>0</v>
      </c>
      <c r="H8">
        <v>0</v>
      </c>
      <c r="I8" t="s">
        <v>22</v>
      </c>
    </row>
    <row r="9" spans="1:9" x14ac:dyDescent="0.3">
      <c r="A9">
        <v>5</v>
      </c>
      <c r="B9" t="s">
        <v>35</v>
      </c>
      <c r="C9">
        <v>2.0054059999999998</v>
      </c>
      <c r="D9">
        <v>110.5294</v>
      </c>
      <c r="E9">
        <v>2.0054059999999998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</v>
      </c>
      <c r="B2" t="s">
        <v>13</v>
      </c>
      <c r="C2">
        <v>0.80637289999999995</v>
      </c>
      <c r="D2">
        <v>20.860130000000002</v>
      </c>
      <c r="E2">
        <v>0.23680100000000001</v>
      </c>
      <c r="F2">
        <v>0.29366189999999998</v>
      </c>
      <c r="G2">
        <v>0</v>
      </c>
      <c r="H2">
        <v>0</v>
      </c>
      <c r="I2" t="s">
        <v>10</v>
      </c>
    </row>
    <row r="3" spans="1:9" x14ac:dyDescent="0.3">
      <c r="A3">
        <v>8</v>
      </c>
      <c r="B3" t="s">
        <v>15</v>
      </c>
      <c r="C3">
        <v>1.4279200000000001</v>
      </c>
      <c r="D3">
        <v>48.540849999999999</v>
      </c>
      <c r="E3">
        <v>1.104511</v>
      </c>
      <c r="F3">
        <v>0.7735109</v>
      </c>
      <c r="G3">
        <v>0</v>
      </c>
      <c r="H3">
        <v>0</v>
      </c>
      <c r="I3" t="s">
        <v>12</v>
      </c>
    </row>
    <row r="4" spans="1:9" x14ac:dyDescent="0.3">
      <c r="A4">
        <v>8</v>
      </c>
      <c r="B4" t="s">
        <v>17</v>
      </c>
      <c r="C4">
        <v>1.9605109999999999</v>
      </c>
      <c r="D4">
        <v>38.752839999999999</v>
      </c>
      <c r="E4">
        <v>1.294476</v>
      </c>
      <c r="F4">
        <v>0.66027499999999995</v>
      </c>
      <c r="G4">
        <v>0</v>
      </c>
      <c r="H4">
        <v>1</v>
      </c>
      <c r="I4" t="s">
        <v>14</v>
      </c>
    </row>
    <row r="5" spans="1:9" x14ac:dyDescent="0.3">
      <c r="A5">
        <v>9</v>
      </c>
      <c r="B5" t="s">
        <v>19</v>
      </c>
      <c r="C5">
        <v>1.0989329999999999</v>
      </c>
      <c r="D5">
        <v>27.768660000000001</v>
      </c>
      <c r="E5">
        <v>0.5334506</v>
      </c>
      <c r="F5">
        <v>0.48542590000000002</v>
      </c>
      <c r="G5">
        <v>0</v>
      </c>
      <c r="H5">
        <v>0</v>
      </c>
      <c r="I5" t="s">
        <v>10</v>
      </c>
    </row>
    <row r="6" spans="1:9" x14ac:dyDescent="0.3">
      <c r="A6">
        <v>9</v>
      </c>
      <c r="B6" t="s">
        <v>21</v>
      </c>
      <c r="C6">
        <v>2.1829079999999998</v>
      </c>
      <c r="D6">
        <v>56.617899999999999</v>
      </c>
      <c r="E6">
        <v>1.615345</v>
      </c>
      <c r="F6">
        <v>0.73999669999999995</v>
      </c>
      <c r="G6">
        <v>0</v>
      </c>
      <c r="H6">
        <v>1</v>
      </c>
      <c r="I6" t="s">
        <v>12</v>
      </c>
    </row>
    <row r="7" spans="1:9" x14ac:dyDescent="0.3">
      <c r="A7">
        <v>10</v>
      </c>
      <c r="B7" t="s">
        <v>23</v>
      </c>
      <c r="C7">
        <v>1.819601</v>
      </c>
      <c r="D7">
        <v>40.966999999999999</v>
      </c>
      <c r="E7">
        <v>1.192966</v>
      </c>
      <c r="F7">
        <v>0.65561959999999997</v>
      </c>
      <c r="G7">
        <v>0</v>
      </c>
      <c r="H7">
        <v>0</v>
      </c>
      <c r="I7" t="s">
        <v>10</v>
      </c>
    </row>
    <row r="8" spans="1:9" x14ac:dyDescent="0.3">
      <c r="A8">
        <v>10</v>
      </c>
      <c r="B8" t="s">
        <v>33</v>
      </c>
      <c r="C8">
        <v>1.5857779999999999</v>
      </c>
      <c r="D8">
        <v>45.649279999999997</v>
      </c>
      <c r="E8">
        <v>0.76612000000000002</v>
      </c>
      <c r="F8">
        <v>0.48311939999999998</v>
      </c>
      <c r="G8">
        <v>0</v>
      </c>
      <c r="H8">
        <v>0</v>
      </c>
      <c r="I8" t="s">
        <v>12</v>
      </c>
    </row>
    <row r="9" spans="1:9" x14ac:dyDescent="0.3">
      <c r="A9">
        <v>10</v>
      </c>
      <c r="B9" t="s">
        <v>34</v>
      </c>
      <c r="C9">
        <v>1.065531</v>
      </c>
      <c r="D9">
        <v>22.10887</v>
      </c>
      <c r="E9">
        <v>0.22662560000000001</v>
      </c>
      <c r="F9">
        <v>0.21268799999999999</v>
      </c>
      <c r="G9">
        <v>0</v>
      </c>
      <c r="H9">
        <v>0</v>
      </c>
      <c r="I9" t="s">
        <v>14</v>
      </c>
    </row>
    <row r="10" spans="1:9" x14ac:dyDescent="0.3">
      <c r="A10">
        <v>10</v>
      </c>
      <c r="B10" t="s">
        <v>35</v>
      </c>
      <c r="C10">
        <v>2.6915439999999999</v>
      </c>
      <c r="D10">
        <v>12.72284</v>
      </c>
      <c r="E10">
        <v>0</v>
      </c>
      <c r="F10">
        <v>0</v>
      </c>
      <c r="G10">
        <v>0</v>
      </c>
      <c r="H10">
        <v>1</v>
      </c>
      <c r="I10" t="s">
        <v>16</v>
      </c>
    </row>
    <row r="11" spans="1:9" x14ac:dyDescent="0.3">
      <c r="A11">
        <v>11</v>
      </c>
      <c r="B11" t="s">
        <v>36</v>
      </c>
      <c r="C11">
        <v>1.5881799999999999</v>
      </c>
      <c r="D11">
        <v>43.151000000000003</v>
      </c>
      <c r="E11">
        <v>1.176418</v>
      </c>
      <c r="F11">
        <v>0.74073330000000004</v>
      </c>
      <c r="G11">
        <v>0</v>
      </c>
      <c r="H11">
        <v>0</v>
      </c>
      <c r="I11" t="s">
        <v>10</v>
      </c>
    </row>
    <row r="12" spans="1:9" x14ac:dyDescent="0.3">
      <c r="A12">
        <v>11</v>
      </c>
      <c r="B12" t="s">
        <v>37</v>
      </c>
      <c r="C12">
        <v>1.877834</v>
      </c>
      <c r="D12">
        <v>53.894649999999999</v>
      </c>
      <c r="E12">
        <v>1.368832</v>
      </c>
      <c r="F12">
        <v>0.72894170000000003</v>
      </c>
      <c r="G12">
        <v>0</v>
      </c>
      <c r="H12">
        <v>0</v>
      </c>
      <c r="I12" t="s">
        <v>12</v>
      </c>
    </row>
    <row r="13" spans="1:9" x14ac:dyDescent="0.3">
      <c r="A13">
        <v>11</v>
      </c>
      <c r="B13" t="s">
        <v>38</v>
      </c>
      <c r="C13">
        <v>1.5209429999999999</v>
      </c>
      <c r="D13">
        <v>38.34552</v>
      </c>
      <c r="E13">
        <v>1.151608</v>
      </c>
      <c r="F13">
        <v>0.75716729999999999</v>
      </c>
      <c r="G13">
        <v>0</v>
      </c>
      <c r="H13">
        <v>0</v>
      </c>
      <c r="I13" t="s">
        <v>14</v>
      </c>
    </row>
    <row r="14" spans="1:9" x14ac:dyDescent="0.3">
      <c r="A14">
        <v>11</v>
      </c>
      <c r="B14" t="s">
        <v>39</v>
      </c>
      <c r="C14">
        <v>1.4686030000000001</v>
      </c>
      <c r="D14">
        <v>26.43947</v>
      </c>
      <c r="E14">
        <v>0.72754810000000003</v>
      </c>
      <c r="F14">
        <v>0.4954016</v>
      </c>
      <c r="G14">
        <v>0</v>
      </c>
      <c r="H14">
        <v>0</v>
      </c>
      <c r="I14" t="s">
        <v>16</v>
      </c>
    </row>
    <row r="15" spans="1:9" x14ac:dyDescent="0.3">
      <c r="A15">
        <v>11</v>
      </c>
      <c r="B15" t="s">
        <v>40</v>
      </c>
      <c r="C15">
        <v>0.49021360000000003</v>
      </c>
      <c r="D15">
        <v>7.185486</v>
      </c>
      <c r="E15">
        <v>0</v>
      </c>
      <c r="F15">
        <v>0</v>
      </c>
      <c r="G15">
        <v>0</v>
      </c>
      <c r="H15">
        <v>1</v>
      </c>
      <c r="I15" t="s">
        <v>18</v>
      </c>
    </row>
    <row r="16" spans="1:9" x14ac:dyDescent="0.3">
      <c r="A16">
        <v>12</v>
      </c>
      <c r="B16" t="s">
        <v>41</v>
      </c>
      <c r="C16">
        <v>1.2718670000000001</v>
      </c>
      <c r="D16">
        <v>30.842500000000001</v>
      </c>
      <c r="E16">
        <v>0.66268210000000005</v>
      </c>
      <c r="F16">
        <v>0.52103080000000002</v>
      </c>
      <c r="G16">
        <v>0</v>
      </c>
      <c r="H16">
        <v>0</v>
      </c>
      <c r="I16" t="s">
        <v>10</v>
      </c>
    </row>
    <row r="17" spans="1:9" x14ac:dyDescent="0.3">
      <c r="A17">
        <v>12</v>
      </c>
      <c r="B17" t="s">
        <v>42</v>
      </c>
      <c r="C17">
        <v>0.91135730000000004</v>
      </c>
      <c r="D17">
        <v>25.090070000000001</v>
      </c>
      <c r="E17">
        <v>0.38764850000000001</v>
      </c>
      <c r="F17">
        <v>0.42535299999999998</v>
      </c>
      <c r="G17">
        <v>0</v>
      </c>
      <c r="H17">
        <v>0</v>
      </c>
      <c r="I17" t="s">
        <v>12</v>
      </c>
    </row>
    <row r="18" spans="1:9" x14ac:dyDescent="0.3">
      <c r="A18">
        <v>12</v>
      </c>
      <c r="B18" t="s">
        <v>43</v>
      </c>
      <c r="C18">
        <v>1.2215579999999999</v>
      </c>
      <c r="D18">
        <v>40.514229999999998</v>
      </c>
      <c r="E18">
        <v>0.92476400000000003</v>
      </c>
      <c r="F18">
        <v>0.75703659999999995</v>
      </c>
      <c r="G18">
        <v>0</v>
      </c>
      <c r="H18">
        <v>0</v>
      </c>
      <c r="I18" t="s">
        <v>14</v>
      </c>
    </row>
    <row r="19" spans="1:9" x14ac:dyDescent="0.3">
      <c r="A19">
        <v>12</v>
      </c>
      <c r="B19" t="s">
        <v>44</v>
      </c>
      <c r="C19">
        <v>1.8217650000000001</v>
      </c>
      <c r="D19">
        <v>36.05686</v>
      </c>
      <c r="E19">
        <v>1.143483</v>
      </c>
      <c r="F19">
        <v>0.62767859999999998</v>
      </c>
      <c r="G19">
        <v>0</v>
      </c>
      <c r="H19">
        <v>0</v>
      </c>
      <c r="I19" t="s">
        <v>16</v>
      </c>
    </row>
    <row r="20" spans="1:9" x14ac:dyDescent="0.3">
      <c r="A20">
        <v>12</v>
      </c>
      <c r="B20" t="s">
        <v>45</v>
      </c>
      <c r="C20">
        <v>1.7745979999999999</v>
      </c>
      <c r="D20">
        <v>41.566279999999999</v>
      </c>
      <c r="E20">
        <v>1.2563930000000001</v>
      </c>
      <c r="F20">
        <v>0.70798720000000004</v>
      </c>
      <c r="G20">
        <v>0</v>
      </c>
      <c r="H20">
        <v>0</v>
      </c>
      <c r="I20" t="s">
        <v>18</v>
      </c>
    </row>
    <row r="21" spans="1:9" x14ac:dyDescent="0.3">
      <c r="A21">
        <v>12</v>
      </c>
      <c r="B21" t="s">
        <v>46</v>
      </c>
      <c r="C21">
        <v>1.547769</v>
      </c>
      <c r="D21">
        <v>30.706479999999999</v>
      </c>
      <c r="E21">
        <v>0.89884220000000004</v>
      </c>
      <c r="F21">
        <v>0.58073399999999997</v>
      </c>
      <c r="G21">
        <v>0</v>
      </c>
      <c r="H21">
        <v>0</v>
      </c>
      <c r="I21" t="s">
        <v>20</v>
      </c>
    </row>
    <row r="22" spans="1:9" x14ac:dyDescent="0.3">
      <c r="A22">
        <v>12</v>
      </c>
      <c r="B22" t="s">
        <v>25</v>
      </c>
      <c r="C22">
        <v>1.933427</v>
      </c>
      <c r="D22">
        <v>40.634920000000001</v>
      </c>
      <c r="E22">
        <v>1.335955</v>
      </c>
      <c r="F22">
        <v>0.69097799999999998</v>
      </c>
      <c r="G22">
        <v>0</v>
      </c>
      <c r="H22">
        <v>0</v>
      </c>
      <c r="I22" t="s">
        <v>22</v>
      </c>
    </row>
    <row r="23" spans="1:9" x14ac:dyDescent="0.3">
      <c r="A23">
        <v>12</v>
      </c>
      <c r="B23" t="s">
        <v>26</v>
      </c>
      <c r="C23">
        <v>2.1152820000000001</v>
      </c>
      <c r="D23">
        <v>95.443849999999998</v>
      </c>
      <c r="E23">
        <v>2.1152820000000001</v>
      </c>
      <c r="F23">
        <v>1</v>
      </c>
      <c r="G23">
        <v>0</v>
      </c>
      <c r="H23">
        <v>0</v>
      </c>
      <c r="I23" t="s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7</v>
      </c>
      <c r="B2" t="s">
        <v>17</v>
      </c>
      <c r="C2">
        <v>1.142552</v>
      </c>
      <c r="D2">
        <v>28.552520000000001</v>
      </c>
      <c r="E2">
        <v>0.47403580000000001</v>
      </c>
      <c r="F2">
        <v>0.41489209999999999</v>
      </c>
      <c r="G2">
        <v>0</v>
      </c>
      <c r="H2">
        <v>0</v>
      </c>
      <c r="I2" t="s">
        <v>10</v>
      </c>
    </row>
    <row r="3" spans="1:9" x14ac:dyDescent="0.3">
      <c r="A3">
        <v>7</v>
      </c>
      <c r="B3" t="s">
        <v>19</v>
      </c>
      <c r="C3">
        <v>1.5365949999999999</v>
      </c>
      <c r="D3">
        <v>41.650709999999997</v>
      </c>
      <c r="E3">
        <v>0.98016360000000002</v>
      </c>
      <c r="F3">
        <v>0.63788</v>
      </c>
      <c r="G3">
        <v>0</v>
      </c>
      <c r="H3">
        <v>0</v>
      </c>
      <c r="I3" t="s">
        <v>12</v>
      </c>
    </row>
    <row r="4" spans="1:9" x14ac:dyDescent="0.3">
      <c r="A4">
        <v>7</v>
      </c>
      <c r="B4" t="s">
        <v>21</v>
      </c>
      <c r="C4">
        <v>1.29132</v>
      </c>
      <c r="D4">
        <v>39.784950000000002</v>
      </c>
      <c r="E4">
        <v>0.92183550000000003</v>
      </c>
      <c r="F4">
        <v>0.71387069999999997</v>
      </c>
      <c r="G4">
        <v>0</v>
      </c>
      <c r="H4">
        <v>0</v>
      </c>
      <c r="I4" t="s">
        <v>14</v>
      </c>
    </row>
    <row r="5" spans="1:9" x14ac:dyDescent="0.3">
      <c r="A5">
        <v>7</v>
      </c>
      <c r="B5" t="s">
        <v>23</v>
      </c>
      <c r="C5">
        <v>1.906701</v>
      </c>
      <c r="D5">
        <v>32.80827</v>
      </c>
      <c r="E5">
        <v>0.97715379999999996</v>
      </c>
      <c r="F5">
        <v>0.51248389999999999</v>
      </c>
      <c r="G5">
        <v>0</v>
      </c>
      <c r="H5">
        <v>0</v>
      </c>
      <c r="I5" t="s">
        <v>16</v>
      </c>
    </row>
    <row r="6" spans="1:9" x14ac:dyDescent="0.3">
      <c r="A6">
        <v>7</v>
      </c>
      <c r="B6" t="s">
        <v>33</v>
      </c>
      <c r="C6">
        <v>2.0330110000000001</v>
      </c>
      <c r="D6">
        <v>37.889180000000003</v>
      </c>
      <c r="E6">
        <v>1.2482549999999999</v>
      </c>
      <c r="F6">
        <v>0.61399329999999996</v>
      </c>
      <c r="G6">
        <v>0</v>
      </c>
      <c r="H6">
        <v>0</v>
      </c>
      <c r="I6" t="s">
        <v>18</v>
      </c>
    </row>
    <row r="7" spans="1:9" x14ac:dyDescent="0.3">
      <c r="A7">
        <v>7</v>
      </c>
      <c r="B7" t="s">
        <v>34</v>
      </c>
      <c r="C7">
        <v>2.7386910000000002</v>
      </c>
      <c r="D7">
        <v>45.420349999999999</v>
      </c>
      <c r="E7">
        <v>2.2718440000000002</v>
      </c>
      <c r="F7">
        <v>0.82953659999999996</v>
      </c>
      <c r="G7">
        <v>0</v>
      </c>
      <c r="H7">
        <v>0</v>
      </c>
      <c r="I7" t="s">
        <v>20</v>
      </c>
    </row>
    <row r="8" spans="1:9" x14ac:dyDescent="0.3">
      <c r="A8">
        <v>7</v>
      </c>
      <c r="B8" t="s">
        <v>35</v>
      </c>
      <c r="C8">
        <v>2.2431260000000002</v>
      </c>
      <c r="D8">
        <v>28.62078</v>
      </c>
      <c r="E8">
        <v>0.89737619999999996</v>
      </c>
      <c r="F8">
        <v>0.40005619999999997</v>
      </c>
      <c r="G8">
        <v>0</v>
      </c>
      <c r="H8">
        <v>0</v>
      </c>
      <c r="I8" t="s">
        <v>22</v>
      </c>
    </row>
    <row r="9" spans="1:9" x14ac:dyDescent="0.3">
      <c r="A9">
        <v>7</v>
      </c>
      <c r="B9" t="s">
        <v>36</v>
      </c>
      <c r="C9">
        <v>2.0945830000000001</v>
      </c>
      <c r="D9">
        <v>77.773820000000001</v>
      </c>
      <c r="E9">
        <v>2.0945830000000001</v>
      </c>
      <c r="F9">
        <v>1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workbookViewId="0">
      <selection activeCell="F2" sqref="F2:F9"/>
    </sheetView>
  </sheetViews>
  <sheetFormatPr defaultRowHeight="14.4" x14ac:dyDescent="0.3"/>
  <cols>
    <col min="1" max="9" width="22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9</v>
      </c>
      <c r="C2">
        <v>0.94886309999999996</v>
      </c>
      <c r="D2">
        <v>18.28903</v>
      </c>
      <c r="E2">
        <v>0.24085709999999999</v>
      </c>
      <c r="F2">
        <v>0.2538376</v>
      </c>
      <c r="G2">
        <v>0</v>
      </c>
      <c r="H2">
        <v>0</v>
      </c>
      <c r="I2" t="s">
        <v>10</v>
      </c>
    </row>
    <row r="3" spans="1:9" x14ac:dyDescent="0.3">
      <c r="A3">
        <v>3</v>
      </c>
      <c r="B3" t="s">
        <v>11</v>
      </c>
      <c r="C3">
        <v>1.4198710000000001</v>
      </c>
      <c r="D3">
        <v>29.504660000000001</v>
      </c>
      <c r="E3">
        <v>0.52995990000000004</v>
      </c>
      <c r="F3">
        <v>0.37324499999999999</v>
      </c>
      <c r="G3">
        <v>0</v>
      </c>
      <c r="H3">
        <v>0</v>
      </c>
      <c r="I3" t="s">
        <v>12</v>
      </c>
    </row>
    <row r="4" spans="1:9" x14ac:dyDescent="0.3">
      <c r="A4">
        <v>3</v>
      </c>
      <c r="B4" t="s">
        <v>13</v>
      </c>
      <c r="C4">
        <v>1.025992</v>
      </c>
      <c r="D4">
        <v>19.413239999999998</v>
      </c>
      <c r="E4">
        <v>0.28300530000000002</v>
      </c>
      <c r="F4">
        <v>0.27583570000000002</v>
      </c>
      <c r="G4">
        <v>0</v>
      </c>
      <c r="H4">
        <v>0</v>
      </c>
      <c r="I4" t="s">
        <v>14</v>
      </c>
    </row>
    <row r="5" spans="1:9" x14ac:dyDescent="0.3">
      <c r="A5">
        <v>3</v>
      </c>
      <c r="B5" t="s">
        <v>15</v>
      </c>
      <c r="C5">
        <v>1.9550339999999999</v>
      </c>
      <c r="D5">
        <v>19.45429</v>
      </c>
      <c r="E5">
        <v>0.46952929999999998</v>
      </c>
      <c r="F5">
        <v>0.2401643</v>
      </c>
      <c r="G5">
        <v>0</v>
      </c>
      <c r="H5">
        <v>0</v>
      </c>
      <c r="I5" t="s">
        <v>16</v>
      </c>
    </row>
    <row r="6" spans="1:9" x14ac:dyDescent="0.3">
      <c r="A6">
        <v>3</v>
      </c>
      <c r="B6" t="s">
        <v>17</v>
      </c>
      <c r="C6">
        <v>1.654979</v>
      </c>
      <c r="D6">
        <v>18.005189999999999</v>
      </c>
      <c r="E6">
        <v>0.34748370000000001</v>
      </c>
      <c r="F6">
        <v>0.2099626</v>
      </c>
      <c r="G6">
        <v>0</v>
      </c>
      <c r="H6">
        <v>0</v>
      </c>
      <c r="I6" t="s">
        <v>18</v>
      </c>
    </row>
    <row r="7" spans="1:9" x14ac:dyDescent="0.3">
      <c r="A7">
        <v>3</v>
      </c>
      <c r="B7" t="s">
        <v>19</v>
      </c>
      <c r="C7">
        <v>1.874843</v>
      </c>
      <c r="D7">
        <v>17.524899999999999</v>
      </c>
      <c r="E7">
        <v>0.37449529999999998</v>
      </c>
      <c r="F7">
        <v>0.1997476</v>
      </c>
      <c r="G7">
        <v>0</v>
      </c>
      <c r="H7">
        <v>0</v>
      </c>
      <c r="I7" t="s">
        <v>20</v>
      </c>
    </row>
    <row r="8" spans="1:9" x14ac:dyDescent="0.3">
      <c r="A8">
        <v>3</v>
      </c>
      <c r="B8" t="s">
        <v>21</v>
      </c>
      <c r="C8">
        <v>1.9035610000000001</v>
      </c>
      <c r="D8">
        <v>16.603000000000002</v>
      </c>
      <c r="E8">
        <v>0.36838219999999999</v>
      </c>
      <c r="F8">
        <v>0.19352269999999999</v>
      </c>
      <c r="G8">
        <v>0</v>
      </c>
      <c r="H8">
        <v>0</v>
      </c>
      <c r="I8" t="s">
        <v>22</v>
      </c>
    </row>
    <row r="9" spans="1:9" x14ac:dyDescent="0.3">
      <c r="A9">
        <v>3</v>
      </c>
      <c r="B9" t="s">
        <v>23</v>
      </c>
      <c r="C9">
        <v>1.7065170000000001</v>
      </c>
      <c r="D9">
        <v>54.811529999999998</v>
      </c>
      <c r="E9">
        <v>1.5577890000000001</v>
      </c>
      <c r="F9">
        <v>0.91284750000000003</v>
      </c>
      <c r="G9">
        <v>0</v>
      </c>
      <c r="H9">
        <v>0</v>
      </c>
      <c r="I9" t="s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BFA7-A8C4-4742-82D5-A91682DFD266}">
  <dimension ref="A1:H20"/>
  <sheetViews>
    <sheetView tabSelected="1" workbookViewId="0">
      <selection activeCell="H2" sqref="H2"/>
    </sheetView>
  </sheetViews>
  <sheetFormatPr defaultRowHeight="14.4" x14ac:dyDescent="0.3"/>
  <cols>
    <col min="1" max="7" width="26.6640625" customWidth="1"/>
  </cols>
  <sheetData>
    <row r="1" spans="1:8" x14ac:dyDescent="0.3">
      <c r="A1" s="2" t="s">
        <v>118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0" t="s">
        <v>137</v>
      </c>
    </row>
    <row r="2" spans="1:8" x14ac:dyDescent="0.3">
      <c r="A2" s="3" t="s">
        <v>119</v>
      </c>
      <c r="B2">
        <f>AVERAGE(AlexVargas!C:C)</f>
        <v>1.5397094999999998</v>
      </c>
      <c r="C2">
        <f>AVERAGE(AlexVargas!D:D)</f>
        <v>38.043993750000006</v>
      </c>
      <c r="D2">
        <f>AVERAGE(AlexVargas!E:E)</f>
        <v>0.99541783750000012</v>
      </c>
      <c r="E2">
        <f>AVERAGE(AlexVargas!F:F)</f>
        <v>0.65791047499999999</v>
      </c>
      <c r="F2">
        <f>AVERAGE(AlexVargas!G:G)</f>
        <v>0</v>
      </c>
      <c r="G2">
        <f>AVERAGE(AlexVargas!H:H)</f>
        <v>0</v>
      </c>
      <c r="H2">
        <v>0</v>
      </c>
    </row>
    <row r="3" spans="1:8" x14ac:dyDescent="0.3">
      <c r="A3" s="3" t="s">
        <v>120</v>
      </c>
      <c r="B3" s="3">
        <f>AVERAGE(AntoFlores!C:C)</f>
        <v>1.5893744999999999</v>
      </c>
      <c r="C3" s="3">
        <f>AVERAGE(AntoFlores!D:D)</f>
        <v>32.50959125</v>
      </c>
      <c r="D3" s="3">
        <f>AVERAGE(AntoFlores!E:E)</f>
        <v>0.66532538750000003</v>
      </c>
      <c r="E3" s="3">
        <f>AVERAGE(AntoFlores!F:F)</f>
        <v>0.38642675000000004</v>
      </c>
      <c r="F3" s="3">
        <f>AVERAGE(AntoFlores!G:G)</f>
        <v>0</v>
      </c>
      <c r="G3" s="3">
        <f>AVERAGE(AntoFlores!H:H)</f>
        <v>0</v>
      </c>
      <c r="H3">
        <v>0</v>
      </c>
    </row>
    <row r="4" spans="1:8" x14ac:dyDescent="0.3">
      <c r="A4" s="3" t="s">
        <v>122</v>
      </c>
      <c r="B4" s="3">
        <f>AVERAGE(BenjaCarrasco!C:C)</f>
        <v>1.4437969416666665</v>
      </c>
      <c r="C4" s="3">
        <f>AVERAGE(BenjaCarrasco!D:D)</f>
        <v>40.128238333333336</v>
      </c>
      <c r="D4" s="3">
        <f>AVERAGE(BenjaCarrasco!E:E)</f>
        <v>0.92213551666666671</v>
      </c>
      <c r="E4" s="3">
        <f>AVERAGE(BenjaCarrasco!F:F)</f>
        <v>0.61606210000000006</v>
      </c>
      <c r="F4" s="3">
        <f>AVERAGE(BenjaCarrasco!G:G)</f>
        <v>0</v>
      </c>
      <c r="G4" s="3">
        <f>AVERAGE(BenjaCarrasco!H:H)</f>
        <v>8.3333333333333329E-2</v>
      </c>
      <c r="H4">
        <v>0</v>
      </c>
    </row>
    <row r="5" spans="1:8" x14ac:dyDescent="0.3">
      <c r="A5" s="3" t="s">
        <v>123</v>
      </c>
      <c r="B5" s="3">
        <f>AVERAGE(CamilaCarrascoBaier!C:C)</f>
        <v>1.5677033</v>
      </c>
      <c r="C5" s="3">
        <f>AVERAGE(CamilaCarrascoBaier!D:D)</f>
        <v>31.952885454545449</v>
      </c>
      <c r="D5" s="3">
        <f>AVERAGE(CamilaCarrascoBaier!E:E)</f>
        <v>0.61446207909090911</v>
      </c>
      <c r="E5" s="3">
        <f>AVERAGE(CamilaCarrascoBaier!F:F)</f>
        <v>0.36318547757575753</v>
      </c>
      <c r="F5" s="3">
        <f>AVERAGE(CamilaCarrascoBaier!G:G)</f>
        <v>0</v>
      </c>
      <c r="G5" s="3">
        <f>AVERAGE(CamilaCarrascoBaier!H:H)</f>
        <v>0.21212121212121213</v>
      </c>
      <c r="H5">
        <v>0</v>
      </c>
    </row>
    <row r="6" spans="1:8" x14ac:dyDescent="0.3">
      <c r="A6" s="3" t="s">
        <v>124</v>
      </c>
      <c r="B6">
        <f>AVERAGE(CataAguilar!C:C)</f>
        <v>1.4479121568627453</v>
      </c>
      <c r="C6">
        <f>AVERAGE(CataAguilar!D:D)</f>
        <v>43.317329803921574</v>
      </c>
      <c r="D6">
        <f>AVERAGE(CataAguilar!E:E)</f>
        <v>1.0785797352941178</v>
      </c>
      <c r="E6">
        <f>AVERAGE(CataAguilar!F:F)</f>
        <v>0.72279442137254901</v>
      </c>
      <c r="F6">
        <f>AVERAGE(CataAguilar!G:G)</f>
        <v>0</v>
      </c>
      <c r="G6">
        <f>AVERAGE(CataAguilar!H:H)</f>
        <v>0.29411764705882354</v>
      </c>
      <c r="H6">
        <v>0</v>
      </c>
    </row>
    <row r="7" spans="1:8" x14ac:dyDescent="0.3">
      <c r="A7" s="3" t="s">
        <v>125</v>
      </c>
      <c r="B7">
        <f>AVERAGE(DiegoContreras!C:C)</f>
        <v>1.7268772999999999</v>
      </c>
      <c r="C7">
        <f>AVERAGE(DiegoContreras!D:D)</f>
        <v>45.106051999999998</v>
      </c>
      <c r="D7">
        <f>AVERAGE(DiegoContreras!E:E)</f>
        <v>1.0321188599999997</v>
      </c>
      <c r="E7">
        <f>AVERAGE(DiegoContreras!F:F)</f>
        <v>0.58315772799999999</v>
      </c>
      <c r="F7">
        <f>AVERAGE(DiegoContreras!G:G)</f>
        <v>0</v>
      </c>
      <c r="G7">
        <f>AVERAGE(DiegoContreras!H:H)</f>
        <v>0.1</v>
      </c>
      <c r="H7">
        <v>0</v>
      </c>
    </row>
    <row r="8" spans="1:8" x14ac:dyDescent="0.3">
      <c r="A8" s="3" t="s">
        <v>126</v>
      </c>
      <c r="B8">
        <f>AVERAGE(FranPerez!C:C)</f>
        <v>1.558354375</v>
      </c>
      <c r="C8">
        <f>AVERAGE(FranPerez!D:D)</f>
        <v>28.9682125</v>
      </c>
      <c r="D8">
        <f>AVERAGE(FranPerez!E:E)</f>
        <v>0.60504192500000009</v>
      </c>
      <c r="E8">
        <f>AVERAGE(FranPerez!F:F)</f>
        <v>0.36618015000000004</v>
      </c>
      <c r="F8">
        <f>AVERAGE(FranPerez!G:G)</f>
        <v>0</v>
      </c>
      <c r="G8">
        <f>AVERAGE(FranPerez!H:H)</f>
        <v>0</v>
      </c>
      <c r="H8">
        <v>0</v>
      </c>
    </row>
    <row r="9" spans="1:8" x14ac:dyDescent="0.3">
      <c r="A9" s="3" t="s">
        <v>127</v>
      </c>
      <c r="B9">
        <f>AVERAGE(JoaquinAguilar!C:C)</f>
        <v>1.40911016</v>
      </c>
      <c r="C9">
        <f>AVERAGE(JoaquinAguilar!D:D)</f>
        <v>32.5086078</v>
      </c>
      <c r="D9">
        <f>AVERAGE(JoaquinAguilar!E:E)</f>
        <v>0.61260586000000006</v>
      </c>
      <c r="E9">
        <f>AVERAGE(JoaquinAguilar!F:F)</f>
        <v>0.41224021999999999</v>
      </c>
      <c r="F9">
        <f>AVERAGE(JoaquinAguilar!G:G)</f>
        <v>0</v>
      </c>
      <c r="G9">
        <f>AVERAGE(JoaquinAguilar!H:H)</f>
        <v>0.1</v>
      </c>
      <c r="H9">
        <v>0</v>
      </c>
    </row>
    <row r="10" spans="1:8" x14ac:dyDescent="0.3">
      <c r="A10" s="3" t="s">
        <v>128</v>
      </c>
      <c r="B10">
        <f>AVERAGE(LourdesArtigas!C:C)</f>
        <v>1.6737905428571429</v>
      </c>
      <c r="C10">
        <f>AVERAGE(LourdesArtigas!D:D)</f>
        <v>30.59141254285715</v>
      </c>
      <c r="D10">
        <f>AVERAGE(LourdesArtigas!E:E)</f>
        <v>0.65768962571428591</v>
      </c>
      <c r="E10">
        <f>AVERAGE(LourdesArtigas!F:F)</f>
        <v>0.36079302314285711</v>
      </c>
      <c r="F10">
        <f>AVERAGE(LourdesArtigas!G:G)</f>
        <v>0</v>
      </c>
      <c r="G10">
        <f>AVERAGE(LourdesArtigas!H:H)</f>
        <v>0.31428571428571428</v>
      </c>
      <c r="H10">
        <v>0</v>
      </c>
    </row>
    <row r="11" spans="1:8" x14ac:dyDescent="0.3">
      <c r="A11" s="3" t="s">
        <v>129</v>
      </c>
      <c r="B11">
        <f>AVERAGE(Pantrucas!C:C)</f>
        <v>0.7310617727272728</v>
      </c>
      <c r="C11">
        <f>AVERAGE(Pantrucas!D:D)</f>
        <v>43.188405454545453</v>
      </c>
      <c r="D11">
        <f>AVERAGE(Pantrucas!E:E)</f>
        <v>0.44412703636363643</v>
      </c>
      <c r="E11">
        <f>AVERAGE(Pantrucas!F:F)</f>
        <v>0.56528733636363637</v>
      </c>
      <c r="F11">
        <f>AVERAGE(Pantrucas!G:G)</f>
        <v>0</v>
      </c>
      <c r="G11">
        <f>AVERAGE(Pantrucas!H:H)</f>
        <v>9.0909090909090912E-2</v>
      </c>
      <c r="H11">
        <v>0</v>
      </c>
    </row>
    <row r="12" spans="1:8" x14ac:dyDescent="0.3">
      <c r="A12" s="3" t="s">
        <v>130</v>
      </c>
      <c r="B12">
        <f>AVERAGE(Sepumae!C:C)</f>
        <v>1.5890914999999999</v>
      </c>
      <c r="C12">
        <f>AVERAGE(Sepumae!D:D)</f>
        <v>27.3032775</v>
      </c>
      <c r="D12">
        <f>AVERAGE(Sepumae!E:E)</f>
        <v>0.53266592499999998</v>
      </c>
      <c r="E12">
        <f>AVERAGE(Sepumae!F:F)</f>
        <v>0.2916322375</v>
      </c>
      <c r="F12">
        <f>AVERAGE(Sepumae!G:G)</f>
        <v>0</v>
      </c>
      <c r="G12">
        <f>AVERAGE(Sepumae!H:H)</f>
        <v>0</v>
      </c>
      <c r="H12">
        <v>0</v>
      </c>
    </row>
    <row r="13" spans="1:8" x14ac:dyDescent="0.3">
      <c r="A13" s="3" t="s">
        <v>131</v>
      </c>
      <c r="B13">
        <f>AVERAGE(VicenteFigueroa!C:C)</f>
        <v>1.3739264499999999</v>
      </c>
      <c r="C13">
        <f>AVERAGE(VicenteFigueroa!D:D)</f>
        <v>37.128985</v>
      </c>
      <c r="D13">
        <f>AVERAGE(VicenteFigueroa!E:E)</f>
        <v>0.67104800000000009</v>
      </c>
      <c r="E13">
        <f>AVERAGE(VicenteFigueroa!F:F)</f>
        <v>0.4737026875</v>
      </c>
      <c r="F13">
        <f>AVERAGE(VicenteFigueroa!G:G)</f>
        <v>0</v>
      </c>
      <c r="G13">
        <f>AVERAGE(VicenteFigueroa!H:H)</f>
        <v>0</v>
      </c>
      <c r="H13">
        <v>0</v>
      </c>
    </row>
    <row r="14" spans="1:8" x14ac:dyDescent="0.3">
      <c r="A14" s="3" t="s">
        <v>132</v>
      </c>
      <c r="B14">
        <f>AVERAGE(VicenteHernandez!C:C)</f>
        <v>1.5537498090909094</v>
      </c>
      <c r="C14">
        <f>AVERAGE(VicenteHernandez!D:D)</f>
        <v>37.448167545454552</v>
      </c>
      <c r="D14">
        <f>AVERAGE(VicenteHernandez!E:E)</f>
        <v>0.9145341409090908</v>
      </c>
      <c r="E14">
        <f>AVERAGE(VicenteHernandez!F:F)</f>
        <v>0.56078815909090907</v>
      </c>
      <c r="F14">
        <f>AVERAGE(VicenteHernandez!G:G)</f>
        <v>0</v>
      </c>
      <c r="G14">
        <f>AVERAGE(VicenteHernandez!H:H)</f>
        <v>0.18181818181818182</v>
      </c>
      <c r="H14">
        <v>0</v>
      </c>
    </row>
    <row r="15" spans="1:8" x14ac:dyDescent="0.3">
      <c r="A15" s="3" t="s">
        <v>133</v>
      </c>
      <c r="B15">
        <f>AVERAGE(VicenteLineros!C:C)</f>
        <v>1.8733223750000001</v>
      </c>
      <c r="C15">
        <f>AVERAGE(VicenteLineros!D:D)</f>
        <v>41.562572500000002</v>
      </c>
      <c r="D15">
        <f>AVERAGE(VicenteLineros!E:E)</f>
        <v>1.2331558625000001</v>
      </c>
      <c r="E15">
        <f>AVERAGE(VicenteLineros!F:F)</f>
        <v>0.64033909999999994</v>
      </c>
      <c r="F15">
        <f>AVERAGE(VicenteLineros!G:G)</f>
        <v>0</v>
      </c>
      <c r="G15">
        <f>AVERAGE(VicenteLineros!H:H)</f>
        <v>0</v>
      </c>
      <c r="H15">
        <v>0</v>
      </c>
    </row>
    <row r="16" spans="1:8" x14ac:dyDescent="0.3">
      <c r="A16" s="3" t="s">
        <v>121</v>
      </c>
      <c r="B16">
        <f>AVERAGE(yoelchupa!C:C)</f>
        <v>1.5612075125</v>
      </c>
      <c r="C16">
        <f>AVERAGE(yoelchupa!D:D)</f>
        <v>24.20073</v>
      </c>
      <c r="D16">
        <f>AVERAGE(yoelchupa!E:E)</f>
        <v>0.52143772499999996</v>
      </c>
      <c r="E16">
        <f>AVERAGE(yoelchupa!F:F)</f>
        <v>0.33239537499999999</v>
      </c>
      <c r="F16">
        <f>AVERAGE(yoelchupa!G:G)</f>
        <v>0</v>
      </c>
      <c r="G16">
        <f>AVERAGE(yoelchupa!H:H)</f>
        <v>0</v>
      </c>
      <c r="H16">
        <v>0</v>
      </c>
    </row>
    <row r="18" spans="1:7" x14ac:dyDescent="0.3">
      <c r="A18" s="8" t="s">
        <v>135</v>
      </c>
      <c r="B18" s="9">
        <f>_xlfn.PERCENTILE.EXC(B2:B16,0.5)</f>
        <v>1.558354375</v>
      </c>
      <c r="C18" s="9">
        <f t="shared" ref="C18:G18" si="0">_xlfn.PERCENTILE.EXC(C2:C16,0.5)</f>
        <v>37.128985</v>
      </c>
      <c r="D18" s="9">
        <f t="shared" si="0"/>
        <v>0.66532538750000003</v>
      </c>
      <c r="E18" s="9">
        <f t="shared" si="0"/>
        <v>0.4737026875</v>
      </c>
      <c r="F18" s="9">
        <f t="shared" si="0"/>
        <v>0</v>
      </c>
      <c r="G18" s="9">
        <f t="shared" si="0"/>
        <v>8.3333333333333329E-2</v>
      </c>
    </row>
    <row r="19" spans="1:7" x14ac:dyDescent="0.3">
      <c r="A19" s="4" t="s">
        <v>134</v>
      </c>
      <c r="B19" s="5">
        <f>_xlfn.PERCENTILE.EXC(B2:B16,0.75)</f>
        <v>1.5893744999999999</v>
      </c>
      <c r="C19" s="5">
        <f t="shared" ref="C19:G19" si="1">_xlfn.PERCENTILE.EXC(C2:C16,0.75)</f>
        <v>41.562572500000002</v>
      </c>
      <c r="D19" s="5">
        <f t="shared" si="1"/>
        <v>0.99541783750000012</v>
      </c>
      <c r="E19" s="5">
        <f t="shared" si="1"/>
        <v>0.61606210000000006</v>
      </c>
      <c r="F19" s="5">
        <f t="shared" si="1"/>
        <v>0</v>
      </c>
      <c r="G19" s="5">
        <f t="shared" si="1"/>
        <v>0.18181818181818182</v>
      </c>
    </row>
    <row r="20" spans="1:7" x14ac:dyDescent="0.3">
      <c r="A20" s="6" t="s">
        <v>136</v>
      </c>
      <c r="B20" s="7">
        <f>_xlfn.PERCENTILE.EXC(B2:B16,0.9)</f>
        <v>1.78545533</v>
      </c>
      <c r="C20" s="7">
        <f t="shared" ref="C20:G20" si="2">_xlfn.PERCENTILE.EXC(C2:C16,0.9)</f>
        <v>44.032818682352946</v>
      </c>
      <c r="D20" s="7">
        <f t="shared" si="2"/>
        <v>1.1404101861764708</v>
      </c>
      <c r="E20" s="7">
        <f t="shared" si="2"/>
        <v>0.68386405354901958</v>
      </c>
      <c r="F20" s="7">
        <f t="shared" si="2"/>
        <v>0</v>
      </c>
      <c r="G20" s="7">
        <f t="shared" si="2"/>
        <v>0.30218487394957982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2026-02-17T00:03:13Z</dcterms:created>
  <dcterms:modified xsi:type="dcterms:W3CDTF">2026-02-17T06:03:39Z</dcterms:modified>
</cp:coreProperties>
</file>