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"/>
    </mc:Choice>
  </mc:AlternateContent>
  <xr:revisionPtr revIDLastSave="0" documentId="13_ncr:1_{BFEB07BF-E4F7-4121-BF22-69CF609C3E5B}" xr6:coauthVersionLast="47" xr6:coauthVersionMax="47" xr10:uidLastSave="{00000000-0000-0000-0000-000000000000}"/>
  <bookViews>
    <workbookView xWindow="-96" yWindow="-96" windowWidth="23232" windowHeight="13152" firstSheet="10" activeTab="15" xr2:uid="{00000000-000D-0000-FFFF-FFFF00000000}"/>
  </bookViews>
  <sheets>
    <sheet name="AlexVargas" sheetId="1" r:id="rId1"/>
    <sheet name="AntoFlores" sheetId="2" r:id="rId2"/>
    <sheet name="BenjaCarrasco" sheetId="3" r:id="rId3"/>
    <sheet name="CamilaCarrascoBaier" sheetId="4" r:id="rId4"/>
    <sheet name="CataAguilar" sheetId="5" r:id="rId5"/>
    <sheet name="DiegoContreras" sheetId="6" r:id="rId6"/>
    <sheet name="FranPerez" sheetId="7" r:id="rId7"/>
    <sheet name="JoaquinAguilar" sheetId="8" r:id="rId8"/>
    <sheet name="LourdesArtigas" sheetId="9" r:id="rId9"/>
    <sheet name="Pantrucas" sheetId="10" r:id="rId10"/>
    <sheet name="Sepumae" sheetId="11" r:id="rId11"/>
    <sheet name="VicenteFigueroa" sheetId="12" r:id="rId12"/>
    <sheet name="VicenteHernandez" sheetId="13" r:id="rId13"/>
    <sheet name="VicenteLineros" sheetId="14" r:id="rId14"/>
    <sheet name="yoelchupa" sheetId="15" r:id="rId15"/>
    <sheet name="Threshold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6" l="1"/>
  <c r="H20" i="16"/>
  <c r="F20" i="16"/>
  <c r="F19" i="16"/>
  <c r="C20" i="16"/>
  <c r="D20" i="16"/>
  <c r="E20" i="16"/>
  <c r="G20" i="16"/>
  <c r="I20" i="16"/>
  <c r="J20" i="16"/>
  <c r="K20" i="16"/>
  <c r="L20" i="16"/>
  <c r="M20" i="16"/>
  <c r="C19" i="16"/>
  <c r="D19" i="16"/>
  <c r="E19" i="16"/>
  <c r="G19" i="16"/>
  <c r="I19" i="16"/>
  <c r="J19" i="16"/>
  <c r="K19" i="16"/>
  <c r="L19" i="16"/>
  <c r="M19" i="16"/>
  <c r="B20" i="16"/>
  <c r="B19" i="16"/>
  <c r="C18" i="16"/>
  <c r="D18" i="16"/>
  <c r="E18" i="16"/>
  <c r="F18" i="16"/>
  <c r="G18" i="16"/>
  <c r="H18" i="16"/>
  <c r="I18" i="16"/>
  <c r="J18" i="16"/>
  <c r="K18" i="16"/>
  <c r="L18" i="16"/>
  <c r="M18" i="16"/>
  <c r="B18" i="16"/>
  <c r="C14" i="16"/>
  <c r="D14" i="16"/>
  <c r="E14" i="16"/>
  <c r="F14" i="16"/>
  <c r="G14" i="16"/>
  <c r="H14" i="16"/>
  <c r="I14" i="16"/>
  <c r="J14" i="16"/>
  <c r="K14" i="16"/>
  <c r="L14" i="16"/>
  <c r="M14" i="16"/>
  <c r="C13" i="16"/>
  <c r="D13" i="16"/>
  <c r="E13" i="16"/>
  <c r="F13" i="16"/>
  <c r="G13" i="16"/>
  <c r="H13" i="16"/>
  <c r="I13" i="16"/>
  <c r="J13" i="16"/>
  <c r="K13" i="16"/>
  <c r="L13" i="16"/>
  <c r="M13" i="16"/>
  <c r="C12" i="16"/>
  <c r="D12" i="16"/>
  <c r="E12" i="16"/>
  <c r="F12" i="16"/>
  <c r="G12" i="16"/>
  <c r="H12" i="16"/>
  <c r="I12" i="16"/>
  <c r="J12" i="16"/>
  <c r="K12" i="16"/>
  <c r="L12" i="16"/>
  <c r="M12" i="16"/>
  <c r="C11" i="16"/>
  <c r="D11" i="16"/>
  <c r="E11" i="16"/>
  <c r="F11" i="16"/>
  <c r="G11" i="16"/>
  <c r="H11" i="16"/>
  <c r="I11" i="16"/>
  <c r="J11" i="16"/>
  <c r="K11" i="16"/>
  <c r="L11" i="16"/>
  <c r="M11" i="16"/>
  <c r="C10" i="16"/>
  <c r="D10" i="16"/>
  <c r="E10" i="16"/>
  <c r="F10" i="16"/>
  <c r="G10" i="16"/>
  <c r="H10" i="16"/>
  <c r="I10" i="16"/>
  <c r="J10" i="16"/>
  <c r="K10" i="16"/>
  <c r="L10" i="16"/>
  <c r="M10" i="16"/>
  <c r="C9" i="16"/>
  <c r="D9" i="16"/>
  <c r="E9" i="16"/>
  <c r="F9" i="16"/>
  <c r="G9" i="16"/>
  <c r="H9" i="16"/>
  <c r="I9" i="16"/>
  <c r="J9" i="16"/>
  <c r="K9" i="16"/>
  <c r="L9" i="16"/>
  <c r="M9" i="16"/>
  <c r="C8" i="16"/>
  <c r="D8" i="16"/>
  <c r="E8" i="16"/>
  <c r="F8" i="16"/>
  <c r="G8" i="16"/>
  <c r="H8" i="16"/>
  <c r="I8" i="16"/>
  <c r="J8" i="16"/>
  <c r="K8" i="16"/>
  <c r="L8" i="16"/>
  <c r="M8" i="16"/>
  <c r="C7" i="16"/>
  <c r="D7" i="16"/>
  <c r="E7" i="16"/>
  <c r="F7" i="16"/>
  <c r="G7" i="16"/>
  <c r="H7" i="16"/>
  <c r="I7" i="16"/>
  <c r="J7" i="16"/>
  <c r="K7" i="16"/>
  <c r="L7" i="16"/>
  <c r="M7" i="16"/>
  <c r="C6" i="16"/>
  <c r="D6" i="16"/>
  <c r="E6" i="16"/>
  <c r="F6" i="16"/>
  <c r="G6" i="16"/>
  <c r="H6" i="16"/>
  <c r="I6" i="16"/>
  <c r="J6" i="16"/>
  <c r="K6" i="16"/>
  <c r="L6" i="16"/>
  <c r="M6" i="16"/>
  <c r="C5" i="16"/>
  <c r="D5" i="16"/>
  <c r="E5" i="16"/>
  <c r="F5" i="16"/>
  <c r="G5" i="16"/>
  <c r="H5" i="16"/>
  <c r="I5" i="16"/>
  <c r="J5" i="16"/>
  <c r="K5" i="16"/>
  <c r="L5" i="16"/>
  <c r="M5" i="16"/>
  <c r="C4" i="16"/>
  <c r="D4" i="16"/>
  <c r="E4" i="16"/>
  <c r="F4" i="16"/>
  <c r="G4" i="16"/>
  <c r="H4" i="16"/>
  <c r="I4" i="16"/>
  <c r="J4" i="16"/>
  <c r="K4" i="16"/>
  <c r="L4" i="16"/>
  <c r="M4" i="16"/>
  <c r="C3" i="16"/>
  <c r="D3" i="16"/>
  <c r="E3" i="16"/>
  <c r="F3" i="16"/>
  <c r="G3" i="16"/>
  <c r="H3" i="16"/>
  <c r="I3" i="16"/>
  <c r="J3" i="16"/>
  <c r="K3" i="16"/>
  <c r="L3" i="16"/>
  <c r="M3" i="16"/>
  <c r="C2" i="16"/>
  <c r="D2" i="16"/>
  <c r="E2" i="16"/>
  <c r="F2" i="16"/>
  <c r="G2" i="16"/>
  <c r="H2" i="16"/>
  <c r="I2" i="16"/>
  <c r="J2" i="16"/>
  <c r="K2" i="16"/>
  <c r="L2" i="16"/>
  <c r="M2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C15" i="16"/>
  <c r="D15" i="16"/>
  <c r="E15" i="16"/>
  <c r="F15" i="16"/>
  <c r="G15" i="16"/>
  <c r="H15" i="16"/>
  <c r="I15" i="16"/>
  <c r="J15" i="16"/>
  <c r="K15" i="16"/>
  <c r="L15" i="16"/>
  <c r="M15" i="16"/>
  <c r="B15" i="16"/>
  <c r="D16" i="16"/>
  <c r="E16" i="16"/>
  <c r="F16" i="16"/>
  <c r="G16" i="16"/>
  <c r="H16" i="16"/>
  <c r="I16" i="16"/>
  <c r="J16" i="16"/>
  <c r="K16" i="16"/>
  <c r="L16" i="16"/>
  <c r="M16" i="16"/>
  <c r="C16" i="16"/>
  <c r="B16" i="16"/>
</calcChain>
</file>

<file path=xl/sharedStrings.xml><?xml version="1.0" encoding="utf-8"?>
<sst xmlns="http://schemas.openxmlformats.org/spreadsheetml/2006/main" count="954" uniqueCount="104">
  <si>
    <t>AttemptID</t>
  </si>
  <si>
    <t>SegmentId</t>
  </si>
  <si>
    <t>TargetPlatform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</si>
  <si>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</si>
  <si>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</si>
  <si>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</si>
  <si>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</si>
  <si>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</si>
  <si>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</si>
  <si>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</si>
  <si>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</si>
  <si>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</si>
  <si>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</si>
  <si>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</si>
  <si>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</si>
  <si>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</si>
  <si>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</si>
  <si>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TargetAnchor1</t>
  </si>
  <si>
    <t>CleanLanding</t>
  </si>
  <si>
    <t>LandingSegment_2</t>
  </si>
  <si>
    <t>TargetAnchor2</t>
  </si>
  <si>
    <t>LandingSegment_3</t>
  </si>
  <si>
    <t>TargetAnchor3</t>
  </si>
  <si>
    <t>LandingSegment_4</t>
  </si>
  <si>
    <t>TargetAnchor4</t>
  </si>
  <si>
    <t>LandingSegment_5</t>
  </si>
  <si>
    <t>TargetAnchor5</t>
  </si>
  <si>
    <t>LandingSegment_6</t>
  </si>
  <si>
    <t>TargetAnchor6</t>
  </si>
  <si>
    <t>LandingSegment_7</t>
  </si>
  <si>
    <t>TargetAnchor7</t>
  </si>
  <si>
    <t>MissedPlatform_Standing</t>
  </si>
  <si>
    <t>LandingSegment_8</t>
  </si>
  <si>
    <t>TargetAnchor8</t>
  </si>
  <si>
    <t>HitThenFall</t>
  </si>
  <si>
    <t>RightSideFall</t>
  </si>
  <si>
    <t>EdgeLanding</t>
  </si>
  <si>
    <t>OverShoot</t>
  </si>
  <si>
    <t>LandingSegment_9</t>
  </si>
  <si>
    <t>LandingSegment_10</t>
  </si>
  <si>
    <t>LandingSegment_11</t>
  </si>
  <si>
    <t>LandingSegment_12</t>
  </si>
  <si>
    <t>LandingSegment_13</t>
  </si>
  <si>
    <t>LeftSideFall</t>
  </si>
  <si>
    <t>LandingSegment_14</t>
  </si>
  <si>
    <t>LandingSegment_15</t>
  </si>
  <si>
    <t>LandingSegment_16</t>
  </si>
  <si>
    <t>LandingSegment_17</t>
  </si>
  <si>
    <t>LandingSegment_18</t>
  </si>
  <si>
    <t>LandingSegment_19</t>
  </si>
  <si>
    <t>LandingSegment_20</t>
  </si>
  <si>
    <t>UnderShoot</t>
  </si>
  <si>
    <t>LandingSegment_21</t>
  </si>
  <si>
    <t>LandingSegment_22</t>
  </si>
  <si>
    <t>LandingSegment_23</t>
  </si>
  <si>
    <t>LandingSegment_24</t>
  </si>
  <si>
    <t>LandingSegment_25</t>
  </si>
  <si>
    <t>LandingSegment_26</t>
  </si>
  <si>
    <t>LandingSegment_27</t>
  </si>
  <si>
    <t>LandingSegment_28</t>
  </si>
  <si>
    <t>LandingSegment_29</t>
  </si>
  <si>
    <t>LandingSegment_30</t>
  </si>
  <si>
    <t>LandingSegment_31</t>
  </si>
  <si>
    <t>LandingSegment_32</t>
  </si>
  <si>
    <t>LandingSegment_33</t>
  </si>
  <si>
    <t>LandingSegment_34</t>
  </si>
  <si>
    <t>LandingSegment_35</t>
  </si>
  <si>
    <t>LandingSegment_36</t>
  </si>
  <si>
    <t>LandingSegment_37</t>
  </si>
  <si>
    <t>LandingSegment_38</t>
  </si>
  <si>
    <t>LandingSegment_39</t>
  </si>
  <si>
    <t>LandingSegment_40</t>
  </si>
  <si>
    <t>LandingSegment_41</t>
  </si>
  <si>
    <t>LandingSegment_42</t>
  </si>
  <si>
    <t>LandingSegment_43</t>
  </si>
  <si>
    <t>LandingSegment_44</t>
  </si>
  <si>
    <t>LandingSegment_45</t>
  </si>
  <si>
    <t>LandingSegment_46</t>
  </si>
  <si>
    <t>LandingSegment_47</t>
  </si>
  <si>
    <t>LandingSegment_48</t>
  </si>
  <si>
    <t>LandingSegment_49</t>
  </si>
  <si>
    <t>LandingSegment_50</t>
  </si>
  <si>
    <t>LandingSegment_51</t>
  </si>
  <si>
    <t>Jugador</t>
  </si>
  <si>
    <t>Jug1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</si>
  <si>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</si>
  <si>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</si>
  <si>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</si>
  <si>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</si>
  <si>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</si>
  <si>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</si>
  <si>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</si>
  <si>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</si>
  <si>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</si>
  <si>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</si>
  <si>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</si>
  <si>
    <t>Jug13</t>
  </si>
  <si>
    <t>Jug14</t>
  </si>
  <si>
    <t>Jug15</t>
  </si>
  <si>
    <t>Percentil50 (comun)</t>
  </si>
  <si>
    <t>Percentil75 (activacion)</t>
  </si>
  <si>
    <t>Percentil90 (critico)</t>
  </si>
  <si>
    <t>por -1, al ser menor mejor, y mayor peor</t>
  </si>
  <si>
    <t>AbandonoPilar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</si>
</sst>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5</v>
      </c>
      <c r="B2" t="s">
        <v>16</v>
      </c>
      <c r="C2" t="s">
        <v>17</v>
      </c>
      <c r="D2">
        <v>0.55063410000000002</v>
      </c>
      <c r="E2">
        <v>0.50460819999999995</v>
      </c>
      <c r="F2">
        <v>0.22038269999999999</v>
      </c>
      <c r="G2">
        <v>2.5900409999999998</v>
      </c>
      <c r="H2">
        <v>-14.84117</v>
      </c>
      <c r="I2">
        <v>0</v>
      </c>
      <c r="J2">
        <v>0</v>
      </c>
      <c r="K2">
        <v>1.691811</v>
      </c>
      <c r="L2">
        <v>2.0072939999999999</v>
      </c>
      <c r="M2">
        <v>6.4191820000000002</v>
      </c>
      <c r="N2">
        <v>0</v>
      </c>
      <c r="O2">
        <v>0</v>
      </c>
      <c r="P2" t="s">
        <v>18</v>
      </c>
    </row>
    <row r="3" spans="1:16" x14ac:dyDescent="0.3">
      <c r="A3">
        <v>5</v>
      </c>
      <c r="B3" t="s">
        <v>19</v>
      </c>
      <c r="C3" t="s">
        <v>20</v>
      </c>
      <c r="D3">
        <v>1.2216629999999999</v>
      </c>
      <c r="E3">
        <v>1.2180629999999999</v>
      </c>
      <c r="F3">
        <v>9.3719479999999994E-2</v>
      </c>
      <c r="G3">
        <v>2.109416</v>
      </c>
      <c r="H3">
        <v>-16.35887</v>
      </c>
      <c r="I3">
        <v>0</v>
      </c>
      <c r="J3">
        <v>0</v>
      </c>
      <c r="K3">
        <v>0.96408179999999999</v>
      </c>
      <c r="L3">
        <v>2.0108640000000002</v>
      </c>
      <c r="M3">
        <v>10.909219999999999</v>
      </c>
      <c r="N3">
        <v>0</v>
      </c>
      <c r="O3">
        <v>0</v>
      </c>
      <c r="P3" t="s">
        <v>18</v>
      </c>
    </row>
    <row r="4" spans="1:16" x14ac:dyDescent="0.3">
      <c r="A4">
        <v>5</v>
      </c>
      <c r="B4" t="s">
        <v>21</v>
      </c>
      <c r="C4" t="s">
        <v>22</v>
      </c>
      <c r="D4">
        <v>0.25778230000000002</v>
      </c>
      <c r="E4">
        <v>-0.1311417</v>
      </c>
      <c r="F4">
        <v>-0.2219315</v>
      </c>
      <c r="G4">
        <v>2.6374219999999999</v>
      </c>
      <c r="H4">
        <v>-18.553540000000002</v>
      </c>
      <c r="I4">
        <v>0</v>
      </c>
      <c r="J4">
        <v>0</v>
      </c>
      <c r="K4">
        <v>0.43110769999999998</v>
      </c>
      <c r="L4">
        <v>0.91668700000000003</v>
      </c>
      <c r="M4">
        <v>2.0053930000000002</v>
      </c>
      <c r="N4">
        <v>0</v>
      </c>
      <c r="O4">
        <v>0</v>
      </c>
      <c r="P4" t="s">
        <v>18</v>
      </c>
    </row>
    <row r="5" spans="1:16" x14ac:dyDescent="0.3">
      <c r="A5">
        <v>5</v>
      </c>
      <c r="B5" t="s">
        <v>23</v>
      </c>
      <c r="C5" t="s">
        <v>24</v>
      </c>
      <c r="D5">
        <v>1.4300740000000001</v>
      </c>
      <c r="E5">
        <v>0.1072235</v>
      </c>
      <c r="F5">
        <v>-1.426048</v>
      </c>
      <c r="G5">
        <v>1.558975</v>
      </c>
      <c r="H5">
        <v>-20.1328</v>
      </c>
      <c r="I5">
        <v>0</v>
      </c>
      <c r="J5">
        <v>0</v>
      </c>
      <c r="K5">
        <v>1.35911</v>
      </c>
      <c r="L5">
        <v>0.69827269999999997</v>
      </c>
      <c r="M5">
        <v>0.38179809999999997</v>
      </c>
      <c r="N5">
        <v>0</v>
      </c>
      <c r="O5">
        <v>0</v>
      </c>
      <c r="P5" t="s">
        <v>18</v>
      </c>
    </row>
    <row r="6" spans="1:16" x14ac:dyDescent="0.3">
      <c r="A6">
        <v>5</v>
      </c>
      <c r="B6" t="s">
        <v>25</v>
      </c>
      <c r="C6" t="s">
        <v>26</v>
      </c>
      <c r="D6">
        <v>0.34952810000000001</v>
      </c>
      <c r="E6">
        <v>0.2326279</v>
      </c>
      <c r="F6">
        <v>-0.26087189999999999</v>
      </c>
      <c r="G6">
        <v>2.3479169999999998</v>
      </c>
      <c r="H6">
        <v>-14.19909</v>
      </c>
      <c r="I6">
        <v>0</v>
      </c>
      <c r="J6">
        <v>0</v>
      </c>
      <c r="K6">
        <v>2.0815670000000002</v>
      </c>
      <c r="L6">
        <v>2.0230709999999998</v>
      </c>
      <c r="M6">
        <v>6.7138920000000004</v>
      </c>
      <c r="N6">
        <v>0</v>
      </c>
      <c r="O6">
        <v>0</v>
      </c>
      <c r="P6" t="s">
        <v>18</v>
      </c>
    </row>
    <row r="7" spans="1:16" x14ac:dyDescent="0.3">
      <c r="A7">
        <v>5</v>
      </c>
      <c r="B7" t="s">
        <v>27</v>
      </c>
      <c r="C7" t="s">
        <v>28</v>
      </c>
      <c r="D7">
        <v>0.46398260000000002</v>
      </c>
      <c r="E7">
        <v>-0.2680244</v>
      </c>
      <c r="F7">
        <v>-0.37873839999999998</v>
      </c>
      <c r="G7">
        <v>2.2572649999999999</v>
      </c>
      <c r="H7">
        <v>-21.504190000000001</v>
      </c>
      <c r="I7">
        <v>0</v>
      </c>
      <c r="J7">
        <v>0</v>
      </c>
      <c r="K7">
        <v>1.020583</v>
      </c>
      <c r="L7">
        <v>0.4810181</v>
      </c>
      <c r="M7">
        <v>0.11811530000000001</v>
      </c>
      <c r="N7">
        <v>0</v>
      </c>
      <c r="O7">
        <v>0</v>
      </c>
      <c r="P7" t="s">
        <v>18</v>
      </c>
    </row>
    <row r="8" spans="1:16" x14ac:dyDescent="0.3">
      <c r="A8">
        <v>5</v>
      </c>
      <c r="B8" t="s">
        <v>29</v>
      </c>
      <c r="C8" t="s">
        <v>30</v>
      </c>
      <c r="D8">
        <v>0.19901350000000001</v>
      </c>
      <c r="E8">
        <v>0.1939073</v>
      </c>
      <c r="F8">
        <v>-4.4792180000000001E-2</v>
      </c>
      <c r="G8">
        <v>2.7009460000000001</v>
      </c>
      <c r="H8">
        <v>-18.439530000000001</v>
      </c>
      <c r="I8">
        <v>0</v>
      </c>
      <c r="J8">
        <v>0</v>
      </c>
      <c r="K8">
        <v>0.14003499999999999</v>
      </c>
      <c r="L8">
        <v>0.68841549999999996</v>
      </c>
      <c r="M8">
        <v>1.4303840000000001</v>
      </c>
      <c r="N8">
        <v>0</v>
      </c>
      <c r="O8">
        <v>0</v>
      </c>
      <c r="P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</v>
      </c>
      <c r="B2" t="s">
        <v>16</v>
      </c>
      <c r="C2" t="s">
        <v>17</v>
      </c>
      <c r="D2">
        <v>3.0869309999999999</v>
      </c>
      <c r="E2">
        <v>1.7931820000000001</v>
      </c>
      <c r="F2">
        <v>2.5126949999999999</v>
      </c>
      <c r="G2">
        <v>0</v>
      </c>
      <c r="H2">
        <v>-7.6321729999999999</v>
      </c>
      <c r="I2">
        <v>0</v>
      </c>
      <c r="J2">
        <v>0</v>
      </c>
      <c r="K2">
        <v>1.2256210000000001</v>
      </c>
      <c r="L2">
        <v>1.5505979999999999</v>
      </c>
      <c r="M2">
        <v>3.5513940000000002</v>
      </c>
      <c r="N2">
        <v>1</v>
      </c>
      <c r="O2">
        <v>0</v>
      </c>
      <c r="P2" t="s">
        <v>31</v>
      </c>
    </row>
    <row r="3" spans="1:16" x14ac:dyDescent="0.3">
      <c r="A3">
        <v>10</v>
      </c>
      <c r="B3" t="s">
        <v>19</v>
      </c>
      <c r="C3" t="s">
        <v>20</v>
      </c>
      <c r="D3">
        <v>0.53792309999999999</v>
      </c>
      <c r="E3">
        <v>0.42214970000000002</v>
      </c>
      <c r="F3">
        <v>0.3333931</v>
      </c>
      <c r="G3">
        <v>2.8252999999999999</v>
      </c>
      <c r="H3">
        <v>-8.5473730000000003</v>
      </c>
      <c r="I3">
        <v>0</v>
      </c>
      <c r="J3">
        <v>0</v>
      </c>
      <c r="K3">
        <v>0.82879570000000002</v>
      </c>
      <c r="L3">
        <v>0.55242919999999995</v>
      </c>
      <c r="M3">
        <v>0.35422500000000001</v>
      </c>
      <c r="N3">
        <v>0</v>
      </c>
      <c r="O3">
        <v>0</v>
      </c>
      <c r="P3" t="s">
        <v>18</v>
      </c>
    </row>
    <row r="4" spans="1:16" x14ac:dyDescent="0.3">
      <c r="A4">
        <v>10</v>
      </c>
      <c r="B4" t="s">
        <v>21</v>
      </c>
      <c r="C4" t="s">
        <v>22</v>
      </c>
      <c r="D4">
        <v>0.358962</v>
      </c>
      <c r="E4">
        <v>0.23993680000000001</v>
      </c>
      <c r="F4">
        <v>0.26699070000000003</v>
      </c>
      <c r="G4">
        <v>2.7046139999999999</v>
      </c>
      <c r="H4">
        <v>-11.74361</v>
      </c>
      <c r="I4">
        <v>0</v>
      </c>
      <c r="J4">
        <v>0</v>
      </c>
      <c r="K4">
        <v>3.8298600000000002E-2</v>
      </c>
      <c r="L4">
        <v>0.55694580000000005</v>
      </c>
      <c r="M4">
        <v>0.33824090000000001</v>
      </c>
      <c r="N4">
        <v>0</v>
      </c>
      <c r="O4">
        <v>0</v>
      </c>
      <c r="P4" t="s">
        <v>18</v>
      </c>
    </row>
    <row r="5" spans="1:16" x14ac:dyDescent="0.3">
      <c r="A5">
        <v>10</v>
      </c>
      <c r="B5" t="s">
        <v>23</v>
      </c>
      <c r="C5" t="s">
        <v>24</v>
      </c>
      <c r="D5">
        <v>2.9882599999999999</v>
      </c>
      <c r="E5">
        <v>0.74401090000000003</v>
      </c>
      <c r="F5">
        <v>2.8941569999999999</v>
      </c>
      <c r="G5">
        <v>0</v>
      </c>
      <c r="H5">
        <v>-19.165050000000001</v>
      </c>
      <c r="I5">
        <v>0</v>
      </c>
      <c r="J5">
        <v>0</v>
      </c>
      <c r="K5">
        <v>1.7811349999999999</v>
      </c>
      <c r="L5">
        <v>1.2797240000000001</v>
      </c>
      <c r="M5">
        <v>1.9290989999999999</v>
      </c>
      <c r="N5">
        <v>1</v>
      </c>
      <c r="O5">
        <v>0</v>
      </c>
      <c r="P5" t="s">
        <v>31</v>
      </c>
    </row>
    <row r="6" spans="1:16" x14ac:dyDescent="0.3">
      <c r="A6">
        <v>10</v>
      </c>
      <c r="B6" t="s">
        <v>25</v>
      </c>
      <c r="C6" t="s">
        <v>26</v>
      </c>
      <c r="D6">
        <v>0.6496615</v>
      </c>
      <c r="E6">
        <v>-0.50243380000000004</v>
      </c>
      <c r="F6">
        <v>0.41184999999999999</v>
      </c>
      <c r="G6">
        <v>2.582309</v>
      </c>
      <c r="H6">
        <v>-11.91295</v>
      </c>
      <c r="I6">
        <v>0</v>
      </c>
      <c r="J6">
        <v>0</v>
      </c>
      <c r="K6">
        <v>0.65798330000000005</v>
      </c>
      <c r="L6">
        <v>0.56317139999999999</v>
      </c>
      <c r="M6">
        <v>0.32424419999999998</v>
      </c>
      <c r="N6">
        <v>0</v>
      </c>
      <c r="O6">
        <v>0</v>
      </c>
      <c r="P6" t="s">
        <v>18</v>
      </c>
    </row>
    <row r="7" spans="1:16" x14ac:dyDescent="0.3">
      <c r="A7">
        <v>10</v>
      </c>
      <c r="B7" t="s">
        <v>27</v>
      </c>
      <c r="C7" t="s">
        <v>28</v>
      </c>
      <c r="D7">
        <v>1.156785</v>
      </c>
      <c r="E7">
        <v>0.74021150000000002</v>
      </c>
      <c r="F7">
        <v>0.88895420000000003</v>
      </c>
      <c r="G7">
        <v>2.0681219999999998</v>
      </c>
      <c r="H7">
        <v>-11.442959999999999</v>
      </c>
      <c r="I7">
        <v>0</v>
      </c>
      <c r="J7">
        <v>0</v>
      </c>
      <c r="K7">
        <v>0.23918919999999999</v>
      </c>
      <c r="L7">
        <v>0.55157469999999997</v>
      </c>
      <c r="M7">
        <v>0.34935359999999999</v>
      </c>
      <c r="N7">
        <v>0</v>
      </c>
      <c r="O7">
        <v>0</v>
      </c>
      <c r="P7" t="s">
        <v>18</v>
      </c>
    </row>
    <row r="8" spans="1:16" x14ac:dyDescent="0.3">
      <c r="A8">
        <v>10</v>
      </c>
      <c r="B8" t="s">
        <v>29</v>
      </c>
      <c r="C8" t="s">
        <v>30</v>
      </c>
      <c r="D8">
        <v>0.12413299999999999</v>
      </c>
      <c r="E8">
        <v>-9.5948699999999998E-2</v>
      </c>
      <c r="F8">
        <v>7.8758239999999993E-2</v>
      </c>
      <c r="G8">
        <v>2.8211930000000001</v>
      </c>
      <c r="H8">
        <v>-12.42375</v>
      </c>
      <c r="I8">
        <v>0</v>
      </c>
      <c r="J8">
        <v>0</v>
      </c>
      <c r="K8">
        <v>1.3878410000000001E-2</v>
      </c>
      <c r="L8">
        <v>0.54577640000000005</v>
      </c>
      <c r="M8">
        <v>0.375475</v>
      </c>
      <c r="N8">
        <v>0</v>
      </c>
      <c r="O8">
        <v>0</v>
      </c>
      <c r="P8" t="s">
        <v>18</v>
      </c>
    </row>
    <row r="9" spans="1:16" x14ac:dyDescent="0.3">
      <c r="A9">
        <v>10</v>
      </c>
      <c r="B9" t="s">
        <v>32</v>
      </c>
      <c r="C9" t="s">
        <v>33</v>
      </c>
      <c r="D9">
        <v>10.704800000000001</v>
      </c>
      <c r="E9">
        <v>5.8710959999999996</v>
      </c>
      <c r="F9">
        <v>8.9511450000000004</v>
      </c>
      <c r="G9">
        <v>0</v>
      </c>
      <c r="H9">
        <v>-15.305960000000001</v>
      </c>
      <c r="I9">
        <v>0</v>
      </c>
      <c r="J9">
        <v>0</v>
      </c>
      <c r="K9">
        <v>0.1133391</v>
      </c>
      <c r="L9">
        <v>0.54144289999999995</v>
      </c>
      <c r="M9">
        <v>0.26199699999999998</v>
      </c>
      <c r="N9">
        <v>1</v>
      </c>
      <c r="O9">
        <v>0</v>
      </c>
      <c r="P9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6</v>
      </c>
      <c r="B2" t="s">
        <v>16</v>
      </c>
      <c r="C2" t="s">
        <v>20</v>
      </c>
      <c r="D2">
        <v>0.29460389999999997</v>
      </c>
      <c r="E2">
        <v>6.4346310000000004E-2</v>
      </c>
      <c r="F2">
        <v>0.28749079999999999</v>
      </c>
      <c r="G2">
        <v>3.1367959999999999</v>
      </c>
      <c r="H2">
        <v>-15.7714</v>
      </c>
      <c r="I2">
        <v>0</v>
      </c>
      <c r="J2">
        <v>0</v>
      </c>
      <c r="K2">
        <v>1.0743389999999999</v>
      </c>
      <c r="L2">
        <v>1.3946529999999999</v>
      </c>
      <c r="M2">
        <v>1.882503</v>
      </c>
      <c r="N2">
        <v>0</v>
      </c>
      <c r="O2">
        <v>0</v>
      </c>
      <c r="P2" t="s">
        <v>18</v>
      </c>
    </row>
    <row r="3" spans="1:16" x14ac:dyDescent="0.3">
      <c r="A3">
        <v>6</v>
      </c>
      <c r="B3" t="s">
        <v>19</v>
      </c>
      <c r="C3" t="s">
        <v>22</v>
      </c>
      <c r="D3">
        <v>0.7886476</v>
      </c>
      <c r="E3">
        <v>0.45858759999999998</v>
      </c>
      <c r="F3">
        <v>0.64160919999999999</v>
      </c>
      <c r="G3">
        <v>2.2781929999999999</v>
      </c>
      <c r="H3">
        <v>-11.805709999999999</v>
      </c>
      <c r="I3">
        <v>0</v>
      </c>
      <c r="J3">
        <v>0</v>
      </c>
      <c r="K3">
        <v>0</v>
      </c>
      <c r="L3">
        <v>0</v>
      </c>
      <c r="M3">
        <v>4.4371660000000004</v>
      </c>
      <c r="N3">
        <v>1</v>
      </c>
      <c r="O3">
        <v>1</v>
      </c>
      <c r="P3" t="s">
        <v>34</v>
      </c>
    </row>
    <row r="4" spans="1:16" x14ac:dyDescent="0.3">
      <c r="A4">
        <v>7</v>
      </c>
      <c r="B4" t="s">
        <v>21</v>
      </c>
      <c r="C4" t="s">
        <v>17</v>
      </c>
      <c r="D4">
        <v>1.354673</v>
      </c>
      <c r="E4">
        <v>1.1844330000000001</v>
      </c>
      <c r="F4">
        <v>-0.65746309999999997</v>
      </c>
      <c r="G4">
        <v>1.8156810000000001</v>
      </c>
      <c r="H4">
        <v>-15.594390000000001</v>
      </c>
      <c r="I4">
        <v>0</v>
      </c>
      <c r="J4">
        <v>0</v>
      </c>
      <c r="K4">
        <v>0.65670649999999997</v>
      </c>
      <c r="L4">
        <v>2.011047</v>
      </c>
      <c r="M4">
        <v>9.394755</v>
      </c>
      <c r="N4">
        <v>0</v>
      </c>
      <c r="O4">
        <v>0</v>
      </c>
      <c r="P4" t="s">
        <v>18</v>
      </c>
    </row>
    <row r="5" spans="1:16" x14ac:dyDescent="0.3">
      <c r="A5">
        <v>7</v>
      </c>
      <c r="B5" t="s">
        <v>23</v>
      </c>
      <c r="C5" t="s">
        <v>20</v>
      </c>
      <c r="D5">
        <v>3.3390810000000002</v>
      </c>
      <c r="E5">
        <v>2.495422</v>
      </c>
      <c r="F5">
        <v>2.2186319999999999</v>
      </c>
      <c r="G5">
        <v>3.8423539999999999E-2</v>
      </c>
      <c r="H5">
        <v>-11.80842</v>
      </c>
      <c r="I5">
        <v>0</v>
      </c>
      <c r="J5">
        <v>0</v>
      </c>
      <c r="K5">
        <v>1.0670550000000001</v>
      </c>
      <c r="L5">
        <v>0</v>
      </c>
      <c r="M5">
        <v>7.3563080000000003</v>
      </c>
      <c r="N5">
        <v>1</v>
      </c>
      <c r="O5">
        <v>1</v>
      </c>
      <c r="P5" t="s">
        <v>34</v>
      </c>
    </row>
    <row r="6" spans="1:16" x14ac:dyDescent="0.3">
      <c r="A6">
        <v>7</v>
      </c>
      <c r="B6" t="s">
        <v>25</v>
      </c>
      <c r="C6" t="s">
        <v>24</v>
      </c>
      <c r="D6">
        <v>1.8217699999999999</v>
      </c>
      <c r="E6">
        <v>1.7955399999999999</v>
      </c>
      <c r="F6">
        <v>-0.3080292</v>
      </c>
      <c r="G6">
        <v>1.0795969999999999</v>
      </c>
      <c r="H6">
        <v>-18.771000000000001</v>
      </c>
      <c r="I6">
        <v>0</v>
      </c>
      <c r="J6">
        <v>0</v>
      </c>
      <c r="K6">
        <v>0.1106347</v>
      </c>
      <c r="L6">
        <v>0.55709839999999999</v>
      </c>
      <c r="M6">
        <v>0.31624720000000001</v>
      </c>
      <c r="N6">
        <v>0</v>
      </c>
      <c r="O6">
        <v>0</v>
      </c>
      <c r="P6" t="s">
        <v>18</v>
      </c>
    </row>
    <row r="7" spans="1:16" x14ac:dyDescent="0.3">
      <c r="A7">
        <v>7</v>
      </c>
      <c r="B7" t="s">
        <v>27</v>
      </c>
      <c r="C7" t="s">
        <v>26</v>
      </c>
      <c r="D7">
        <v>2.362225</v>
      </c>
      <c r="E7">
        <v>2.1872790000000002</v>
      </c>
      <c r="F7">
        <v>0.89214320000000003</v>
      </c>
      <c r="G7">
        <v>0.63731599999999999</v>
      </c>
      <c r="H7">
        <v>-15.931290000000001</v>
      </c>
      <c r="I7">
        <v>0</v>
      </c>
      <c r="J7">
        <v>0</v>
      </c>
      <c r="K7">
        <v>0.4036593</v>
      </c>
      <c r="L7">
        <v>1.4099729999999999</v>
      </c>
      <c r="M7">
        <v>2.330368</v>
      </c>
      <c r="N7">
        <v>0</v>
      </c>
      <c r="O7">
        <v>0</v>
      </c>
      <c r="P7" t="s">
        <v>18</v>
      </c>
    </row>
    <row r="8" spans="1:16" x14ac:dyDescent="0.3">
      <c r="A8">
        <v>7</v>
      </c>
      <c r="B8" t="s">
        <v>29</v>
      </c>
      <c r="C8" t="s">
        <v>28</v>
      </c>
      <c r="D8">
        <v>1.0234319999999999</v>
      </c>
      <c r="E8">
        <v>0.96898649999999997</v>
      </c>
      <c r="F8">
        <v>0.32936100000000001</v>
      </c>
      <c r="G8">
        <v>2.0408200000000001</v>
      </c>
      <c r="H8">
        <v>-16.620650000000001</v>
      </c>
      <c r="I8">
        <v>0</v>
      </c>
      <c r="J8">
        <v>0</v>
      </c>
      <c r="K8">
        <v>0</v>
      </c>
      <c r="L8">
        <v>0.83483890000000005</v>
      </c>
      <c r="M8">
        <v>0.34934789999999999</v>
      </c>
      <c r="N8">
        <v>0</v>
      </c>
      <c r="O8">
        <v>0</v>
      </c>
      <c r="P8" t="s">
        <v>18</v>
      </c>
    </row>
    <row r="9" spans="1:16" x14ac:dyDescent="0.3">
      <c r="A9">
        <v>7</v>
      </c>
      <c r="B9" t="s">
        <v>32</v>
      </c>
      <c r="C9" t="s">
        <v>30</v>
      </c>
      <c r="D9">
        <v>0.44172299999999998</v>
      </c>
      <c r="E9">
        <v>-0.30635600000000002</v>
      </c>
      <c r="F9">
        <v>-0.318222</v>
      </c>
      <c r="G9">
        <v>2.6996669999999998</v>
      </c>
      <c r="H9">
        <v>-19.190770000000001</v>
      </c>
      <c r="I9">
        <v>0</v>
      </c>
      <c r="J9">
        <v>0</v>
      </c>
      <c r="K9">
        <v>0</v>
      </c>
      <c r="L9">
        <v>0.56024169999999995</v>
      </c>
      <c r="M9">
        <v>0.36543759999999997</v>
      </c>
      <c r="N9">
        <v>0</v>
      </c>
      <c r="O9">
        <v>0</v>
      </c>
      <c r="P9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</v>
      </c>
      <c r="B2" t="s">
        <v>16</v>
      </c>
      <c r="C2" t="s">
        <v>17</v>
      </c>
      <c r="D2">
        <v>0.16244069999999999</v>
      </c>
      <c r="E2">
        <v>-5.699158E-2</v>
      </c>
      <c r="F2">
        <v>0.1521149</v>
      </c>
      <c r="G2">
        <v>2.7011240000000001</v>
      </c>
      <c r="H2">
        <v>-6.3884259999999999</v>
      </c>
      <c r="I2">
        <v>0</v>
      </c>
      <c r="J2">
        <v>0</v>
      </c>
      <c r="K2">
        <v>7.1630429999999995E-2</v>
      </c>
      <c r="L2">
        <v>0.84036250000000001</v>
      </c>
      <c r="M2">
        <v>2.3766609999999999</v>
      </c>
      <c r="N2">
        <v>0</v>
      </c>
      <c r="O2">
        <v>0</v>
      </c>
      <c r="P2" t="s">
        <v>18</v>
      </c>
    </row>
    <row r="3" spans="1:16" x14ac:dyDescent="0.3">
      <c r="A3">
        <v>8</v>
      </c>
      <c r="B3" t="s">
        <v>19</v>
      </c>
      <c r="C3" t="s">
        <v>20</v>
      </c>
      <c r="D3">
        <v>1.4975369999999999</v>
      </c>
      <c r="E3">
        <v>-1.3887480000000001</v>
      </c>
      <c r="F3">
        <v>-0.56035230000000003</v>
      </c>
      <c r="G3">
        <v>2.1543939999999999</v>
      </c>
      <c r="H3">
        <v>-14.914960000000001</v>
      </c>
      <c r="I3">
        <v>0</v>
      </c>
      <c r="J3">
        <v>0</v>
      </c>
      <c r="K3">
        <v>0</v>
      </c>
      <c r="L3">
        <v>1.438293</v>
      </c>
      <c r="M3">
        <v>3.002033</v>
      </c>
      <c r="N3">
        <v>0</v>
      </c>
      <c r="O3">
        <v>0</v>
      </c>
      <c r="P3" t="s">
        <v>18</v>
      </c>
    </row>
    <row r="4" spans="1:16" x14ac:dyDescent="0.3">
      <c r="A4">
        <v>8</v>
      </c>
      <c r="B4" t="s">
        <v>21</v>
      </c>
      <c r="C4" t="s">
        <v>22</v>
      </c>
      <c r="D4">
        <v>4.4014740000000003</v>
      </c>
      <c r="E4">
        <v>1.1422650000000001</v>
      </c>
      <c r="F4">
        <v>-4.2506709999999996</v>
      </c>
      <c r="G4">
        <v>0</v>
      </c>
      <c r="H4">
        <v>-14.914960000000001</v>
      </c>
      <c r="I4">
        <v>0</v>
      </c>
      <c r="J4">
        <v>4</v>
      </c>
      <c r="K4">
        <v>7.9415240000000002</v>
      </c>
      <c r="L4">
        <v>0</v>
      </c>
      <c r="M4">
        <v>0</v>
      </c>
      <c r="N4">
        <v>1</v>
      </c>
      <c r="O4">
        <v>1</v>
      </c>
      <c r="P4" t="s">
        <v>35</v>
      </c>
    </row>
    <row r="5" spans="1:16" x14ac:dyDescent="0.3">
      <c r="A5">
        <v>9</v>
      </c>
      <c r="B5" t="s">
        <v>23</v>
      </c>
      <c r="C5" t="s">
        <v>17</v>
      </c>
      <c r="D5">
        <v>1.1052519999999999</v>
      </c>
      <c r="E5">
        <v>0.72267150000000002</v>
      </c>
      <c r="F5">
        <v>-0.8362579</v>
      </c>
      <c r="G5">
        <v>2.0281180000000001</v>
      </c>
      <c r="H5">
        <v>-7.3324369999999996</v>
      </c>
      <c r="I5">
        <v>0</v>
      </c>
      <c r="J5">
        <v>0</v>
      </c>
      <c r="K5">
        <v>0</v>
      </c>
      <c r="L5">
        <v>0</v>
      </c>
      <c r="M5">
        <v>4.2267840000000003</v>
      </c>
      <c r="N5">
        <v>1</v>
      </c>
      <c r="O5">
        <v>1</v>
      </c>
      <c r="P5" t="s">
        <v>34</v>
      </c>
    </row>
    <row r="6" spans="1:16" x14ac:dyDescent="0.3">
      <c r="A6">
        <v>10</v>
      </c>
      <c r="B6" t="s">
        <v>25</v>
      </c>
      <c r="C6" t="s">
        <v>17</v>
      </c>
      <c r="D6">
        <v>2.6334610000000001</v>
      </c>
      <c r="E6">
        <v>-0.8295593</v>
      </c>
      <c r="F6">
        <v>2.49939</v>
      </c>
      <c r="G6">
        <v>0.27658270000000001</v>
      </c>
      <c r="H6">
        <v>-3.5942120000000002</v>
      </c>
      <c r="I6">
        <v>0</v>
      </c>
      <c r="J6">
        <v>0</v>
      </c>
      <c r="K6">
        <v>0.46599069999999998</v>
      </c>
      <c r="L6">
        <v>0.86801150000000005</v>
      </c>
      <c r="M6">
        <v>2.924315</v>
      </c>
      <c r="N6">
        <v>0</v>
      </c>
      <c r="O6">
        <v>0</v>
      </c>
      <c r="P6" t="s">
        <v>36</v>
      </c>
    </row>
    <row r="7" spans="1:16" x14ac:dyDescent="0.3">
      <c r="A7">
        <v>10</v>
      </c>
      <c r="B7" t="s">
        <v>27</v>
      </c>
      <c r="C7" t="s">
        <v>20</v>
      </c>
      <c r="D7">
        <v>3.1479499999999998</v>
      </c>
      <c r="E7">
        <v>3.0753629999999998</v>
      </c>
      <c r="F7">
        <v>-0.67211149999999997</v>
      </c>
      <c r="G7">
        <v>0.18372959999999999</v>
      </c>
      <c r="H7">
        <v>-9.0966939999999994</v>
      </c>
      <c r="I7">
        <v>0</v>
      </c>
      <c r="J7">
        <v>0</v>
      </c>
      <c r="K7">
        <v>0.62209400000000004</v>
      </c>
      <c r="L7">
        <v>1.283447</v>
      </c>
      <c r="M7">
        <v>3.274054</v>
      </c>
      <c r="N7">
        <v>0</v>
      </c>
      <c r="O7">
        <v>0</v>
      </c>
      <c r="P7" t="s">
        <v>36</v>
      </c>
    </row>
    <row r="8" spans="1:16" x14ac:dyDescent="0.3">
      <c r="A8">
        <v>10</v>
      </c>
      <c r="B8" t="s">
        <v>29</v>
      </c>
      <c r="C8" t="s">
        <v>22</v>
      </c>
      <c r="D8">
        <v>3.9576690000000001</v>
      </c>
      <c r="E8">
        <v>-3.6950910000000001</v>
      </c>
      <c r="F8">
        <v>-1.4175489999999999</v>
      </c>
      <c r="G8">
        <v>0</v>
      </c>
      <c r="H8">
        <v>-9.0966939999999994</v>
      </c>
      <c r="I8">
        <v>0</v>
      </c>
      <c r="J8">
        <v>0</v>
      </c>
      <c r="K8">
        <v>1.8325020000000001</v>
      </c>
      <c r="L8">
        <v>0</v>
      </c>
      <c r="M8">
        <v>0</v>
      </c>
      <c r="N8">
        <v>1</v>
      </c>
      <c r="O8">
        <v>1</v>
      </c>
      <c r="P8" t="s">
        <v>37</v>
      </c>
    </row>
    <row r="9" spans="1:16" x14ac:dyDescent="0.3">
      <c r="A9">
        <v>11</v>
      </c>
      <c r="B9" t="s">
        <v>32</v>
      </c>
      <c r="C9" t="s">
        <v>17</v>
      </c>
      <c r="D9">
        <v>1.620349</v>
      </c>
      <c r="E9">
        <v>-0.5240631</v>
      </c>
      <c r="F9">
        <v>1.5332600000000001</v>
      </c>
      <c r="G9">
        <v>1.2855110000000001</v>
      </c>
      <c r="H9">
        <v>-6.4492859999999999</v>
      </c>
      <c r="I9">
        <v>0</v>
      </c>
      <c r="J9">
        <v>0</v>
      </c>
      <c r="K9">
        <v>0.3683457</v>
      </c>
      <c r="L9">
        <v>0.52612300000000001</v>
      </c>
      <c r="M9">
        <v>0.25691429999999998</v>
      </c>
      <c r="N9">
        <v>0</v>
      </c>
      <c r="O9">
        <v>0</v>
      </c>
      <c r="P9" t="s">
        <v>18</v>
      </c>
    </row>
    <row r="10" spans="1:16" x14ac:dyDescent="0.3">
      <c r="A10">
        <v>11</v>
      </c>
      <c r="B10" t="s">
        <v>38</v>
      </c>
      <c r="C10" t="s">
        <v>20</v>
      </c>
      <c r="D10">
        <v>2.6638890000000002</v>
      </c>
      <c r="E10">
        <v>1.361694</v>
      </c>
      <c r="F10">
        <v>-2.2895620000000001</v>
      </c>
      <c r="G10">
        <v>0.73701640000000002</v>
      </c>
      <c r="H10">
        <v>-9.8596020000000006</v>
      </c>
      <c r="I10">
        <v>0</v>
      </c>
      <c r="J10">
        <v>0</v>
      </c>
      <c r="K10">
        <v>0</v>
      </c>
      <c r="L10">
        <v>0.91922000000000004</v>
      </c>
      <c r="M10">
        <v>2.8518020000000002</v>
      </c>
      <c r="N10">
        <v>0</v>
      </c>
      <c r="O10">
        <v>0</v>
      </c>
      <c r="P10" t="s">
        <v>18</v>
      </c>
    </row>
    <row r="11" spans="1:16" x14ac:dyDescent="0.3">
      <c r="A11">
        <v>11</v>
      </c>
      <c r="B11" t="s">
        <v>39</v>
      </c>
      <c r="C11" t="s">
        <v>22</v>
      </c>
      <c r="D11">
        <v>2.141429</v>
      </c>
      <c r="E11">
        <v>2.1304630000000002</v>
      </c>
      <c r="F11">
        <v>0.2164383</v>
      </c>
      <c r="G11">
        <v>1.0253300000000001</v>
      </c>
      <c r="H11">
        <v>-8.2294970000000003</v>
      </c>
      <c r="I11">
        <v>0</v>
      </c>
      <c r="J11">
        <v>1</v>
      </c>
      <c r="K11">
        <v>5.0023249999999999</v>
      </c>
      <c r="L11">
        <v>0</v>
      </c>
      <c r="M11">
        <v>0.95394610000000002</v>
      </c>
      <c r="N11">
        <v>1</v>
      </c>
      <c r="O11">
        <v>1</v>
      </c>
      <c r="P11" t="s">
        <v>34</v>
      </c>
    </row>
    <row r="12" spans="1:16" x14ac:dyDescent="0.3">
      <c r="A12">
        <v>11</v>
      </c>
      <c r="B12" t="s">
        <v>40</v>
      </c>
      <c r="C12" t="s">
        <v>24</v>
      </c>
      <c r="D12">
        <v>1.9128799999999999</v>
      </c>
      <c r="E12">
        <v>1.8769610000000001</v>
      </c>
      <c r="F12">
        <v>0.36895749999999999</v>
      </c>
      <c r="G12">
        <v>0.98890639999999996</v>
      </c>
      <c r="H12">
        <v>-10.75238</v>
      </c>
      <c r="I12">
        <v>0</v>
      </c>
      <c r="J12">
        <v>0</v>
      </c>
      <c r="K12">
        <v>5.4572830000000003E-2</v>
      </c>
      <c r="L12">
        <v>1.001709</v>
      </c>
      <c r="M12">
        <v>1.763161</v>
      </c>
      <c r="N12">
        <v>0</v>
      </c>
      <c r="O12">
        <v>0</v>
      </c>
      <c r="P12" t="s">
        <v>18</v>
      </c>
    </row>
    <row r="13" spans="1:16" x14ac:dyDescent="0.3">
      <c r="A13">
        <v>11</v>
      </c>
      <c r="B13" t="s">
        <v>41</v>
      </c>
      <c r="C13" t="s">
        <v>26</v>
      </c>
      <c r="D13">
        <v>1.8358399999999999</v>
      </c>
      <c r="E13">
        <v>1.5471189999999999</v>
      </c>
      <c r="F13">
        <v>-0.98829650000000002</v>
      </c>
      <c r="G13">
        <v>0.90890170000000003</v>
      </c>
      <c r="H13">
        <v>-12.42986</v>
      </c>
      <c r="I13">
        <v>0</v>
      </c>
      <c r="J13">
        <v>0</v>
      </c>
      <c r="K13">
        <v>0.79451899999999998</v>
      </c>
      <c r="L13">
        <v>0.51672359999999995</v>
      </c>
      <c r="M13">
        <v>0.184254</v>
      </c>
      <c r="N13">
        <v>0</v>
      </c>
      <c r="O13">
        <v>0</v>
      </c>
      <c r="P13" t="s">
        <v>18</v>
      </c>
    </row>
    <row r="14" spans="1:16" x14ac:dyDescent="0.3">
      <c r="A14">
        <v>11</v>
      </c>
      <c r="B14" t="s">
        <v>42</v>
      </c>
      <c r="C14" t="s">
        <v>28</v>
      </c>
      <c r="D14">
        <v>6.5371920000000001</v>
      </c>
      <c r="E14">
        <v>0.95530700000000002</v>
      </c>
      <c r="F14">
        <v>6.4670139999999998</v>
      </c>
      <c r="G14">
        <v>0</v>
      </c>
      <c r="H14">
        <v>-12.42986</v>
      </c>
      <c r="I14">
        <v>0</v>
      </c>
      <c r="J14">
        <v>0</v>
      </c>
      <c r="K14">
        <v>3.830003</v>
      </c>
      <c r="L14">
        <v>0</v>
      </c>
      <c r="M14">
        <v>0</v>
      </c>
      <c r="N14">
        <v>1</v>
      </c>
      <c r="O14">
        <v>1</v>
      </c>
      <c r="P14" t="s">
        <v>43</v>
      </c>
    </row>
    <row r="15" spans="1:16" x14ac:dyDescent="0.3">
      <c r="A15">
        <v>12</v>
      </c>
      <c r="B15" t="s">
        <v>44</v>
      </c>
      <c r="C15" t="s">
        <v>17</v>
      </c>
      <c r="D15">
        <v>2.1857820000000001</v>
      </c>
      <c r="E15">
        <v>-1.921829</v>
      </c>
      <c r="F15">
        <v>1.041256</v>
      </c>
      <c r="G15">
        <v>0.64092349999999998</v>
      </c>
      <c r="H15">
        <v>-7.8335059999999999</v>
      </c>
      <c r="I15">
        <v>0</v>
      </c>
      <c r="J15">
        <v>0</v>
      </c>
      <c r="K15">
        <v>0.95448739999999999</v>
      </c>
      <c r="L15">
        <v>0.67031859999999999</v>
      </c>
      <c r="M15">
        <v>1.4367220000000001</v>
      </c>
      <c r="N15">
        <v>0</v>
      </c>
      <c r="O15">
        <v>0</v>
      </c>
      <c r="P15" t="s">
        <v>18</v>
      </c>
    </row>
    <row r="16" spans="1:16" x14ac:dyDescent="0.3">
      <c r="A16">
        <v>12</v>
      </c>
      <c r="B16" t="s">
        <v>45</v>
      </c>
      <c r="C16" t="s">
        <v>20</v>
      </c>
      <c r="D16">
        <v>0.91928829999999995</v>
      </c>
      <c r="E16">
        <v>0.4470673</v>
      </c>
      <c r="F16">
        <v>-0.803257</v>
      </c>
      <c r="G16">
        <v>2.4791370000000001</v>
      </c>
      <c r="H16">
        <v>-8.754683</v>
      </c>
      <c r="I16">
        <v>0</v>
      </c>
      <c r="J16">
        <v>0</v>
      </c>
      <c r="K16">
        <v>4.8749069999999999E-2</v>
      </c>
      <c r="L16">
        <v>0.54281619999999997</v>
      </c>
      <c r="M16">
        <v>0.26012479999999999</v>
      </c>
      <c r="N16">
        <v>0</v>
      </c>
      <c r="O16">
        <v>0</v>
      </c>
      <c r="P16" t="s">
        <v>18</v>
      </c>
    </row>
    <row r="17" spans="1:16" x14ac:dyDescent="0.3">
      <c r="A17">
        <v>12</v>
      </c>
      <c r="B17" t="s">
        <v>46</v>
      </c>
      <c r="C17" t="s">
        <v>22</v>
      </c>
      <c r="D17">
        <v>2.8903310000000002</v>
      </c>
      <c r="E17">
        <v>1.658989</v>
      </c>
      <c r="F17">
        <v>2.366806</v>
      </c>
      <c r="G17">
        <v>0.18683079999999999</v>
      </c>
      <c r="H17">
        <v>-13.444750000000001</v>
      </c>
      <c r="I17">
        <v>0</v>
      </c>
      <c r="J17">
        <v>0</v>
      </c>
      <c r="K17">
        <v>0.52143839999999997</v>
      </c>
      <c r="L17">
        <v>0</v>
      </c>
      <c r="M17">
        <v>7.059361</v>
      </c>
      <c r="N17">
        <v>1</v>
      </c>
      <c r="O17">
        <v>1</v>
      </c>
      <c r="P17" t="s">
        <v>34</v>
      </c>
    </row>
    <row r="18" spans="1:16" x14ac:dyDescent="0.3">
      <c r="A18">
        <v>13</v>
      </c>
      <c r="B18" t="s">
        <v>47</v>
      </c>
      <c r="C18" t="s">
        <v>17</v>
      </c>
      <c r="D18">
        <v>2.1075940000000002</v>
      </c>
      <c r="E18">
        <v>-2.0923310000000002</v>
      </c>
      <c r="F18">
        <v>0.2531891</v>
      </c>
      <c r="G18">
        <v>0.71009829999999996</v>
      </c>
      <c r="H18">
        <v>-8.795579</v>
      </c>
      <c r="I18">
        <v>0</v>
      </c>
      <c r="J18">
        <v>0</v>
      </c>
      <c r="K18">
        <v>5.5486639999999997E-2</v>
      </c>
      <c r="L18">
        <v>1.0177</v>
      </c>
      <c r="M18">
        <v>2.3026219999999999</v>
      </c>
      <c r="N18">
        <v>0</v>
      </c>
      <c r="O18">
        <v>0</v>
      </c>
      <c r="P18" t="s">
        <v>18</v>
      </c>
    </row>
    <row r="19" spans="1:16" x14ac:dyDescent="0.3">
      <c r="A19">
        <v>13</v>
      </c>
      <c r="B19" t="s">
        <v>48</v>
      </c>
      <c r="C19" t="s">
        <v>20</v>
      </c>
      <c r="D19">
        <v>3.5872769999999998</v>
      </c>
      <c r="E19">
        <v>0.1168671</v>
      </c>
      <c r="F19">
        <v>-3.5853730000000001</v>
      </c>
      <c r="G19">
        <v>0</v>
      </c>
      <c r="H19">
        <v>-9.6705690000000004</v>
      </c>
      <c r="I19">
        <v>0</v>
      </c>
      <c r="J19">
        <v>0</v>
      </c>
      <c r="K19">
        <v>0</v>
      </c>
      <c r="L19">
        <v>1.0657350000000001</v>
      </c>
      <c r="M19">
        <v>4.6643220000000003</v>
      </c>
      <c r="N19">
        <v>1</v>
      </c>
      <c r="O19">
        <v>0</v>
      </c>
      <c r="P19" t="s">
        <v>31</v>
      </c>
    </row>
    <row r="20" spans="1:16" x14ac:dyDescent="0.3">
      <c r="A20">
        <v>13</v>
      </c>
      <c r="B20" t="s">
        <v>49</v>
      </c>
      <c r="C20" t="s">
        <v>22</v>
      </c>
      <c r="D20">
        <v>1.0532729999999999</v>
      </c>
      <c r="E20">
        <v>-0.70004270000000002</v>
      </c>
      <c r="F20">
        <v>0.786972</v>
      </c>
      <c r="G20">
        <v>1.813337</v>
      </c>
      <c r="H20">
        <v>-12.564249999999999</v>
      </c>
      <c r="I20">
        <v>0</v>
      </c>
      <c r="J20">
        <v>0</v>
      </c>
      <c r="K20">
        <v>3.5448350000000003E-2</v>
      </c>
      <c r="L20">
        <v>0.53289790000000004</v>
      </c>
      <c r="M20">
        <v>0.28476449999999998</v>
      </c>
      <c r="N20">
        <v>0</v>
      </c>
      <c r="O20">
        <v>0</v>
      </c>
      <c r="P20" t="s">
        <v>18</v>
      </c>
    </row>
    <row r="21" spans="1:16" x14ac:dyDescent="0.3">
      <c r="A21">
        <v>13</v>
      </c>
      <c r="B21" t="s">
        <v>50</v>
      </c>
      <c r="C21" t="s">
        <v>24</v>
      </c>
      <c r="D21">
        <v>3.5160779999999998</v>
      </c>
      <c r="E21">
        <v>3.4950100000000002</v>
      </c>
      <c r="F21">
        <v>-0.38433070000000003</v>
      </c>
      <c r="G21">
        <v>0</v>
      </c>
      <c r="H21">
        <v>-12.564249999999999</v>
      </c>
      <c r="I21">
        <v>0</v>
      </c>
      <c r="J21">
        <v>1</v>
      </c>
      <c r="K21">
        <v>3.7304879999999998</v>
      </c>
      <c r="L21">
        <v>0</v>
      </c>
      <c r="M21">
        <v>0</v>
      </c>
      <c r="N21">
        <v>1</v>
      </c>
      <c r="O21">
        <v>1</v>
      </c>
      <c r="P21" t="s">
        <v>51</v>
      </c>
    </row>
    <row r="22" spans="1:16" x14ac:dyDescent="0.3">
      <c r="A22">
        <v>14</v>
      </c>
      <c r="B22" t="s">
        <v>52</v>
      </c>
      <c r="C22" t="s">
        <v>17</v>
      </c>
      <c r="D22">
        <v>0.47312209999999999</v>
      </c>
      <c r="E22">
        <v>-4.7668460000000003E-2</v>
      </c>
      <c r="F22">
        <v>0.47071459999999998</v>
      </c>
      <c r="G22">
        <v>2.4499599999999999</v>
      </c>
      <c r="H22">
        <v>-6.0355059999999998</v>
      </c>
      <c r="I22">
        <v>0</v>
      </c>
      <c r="J22">
        <v>0</v>
      </c>
      <c r="K22">
        <v>4.3208870000000003E-2</v>
      </c>
      <c r="L22">
        <v>0.55236819999999998</v>
      </c>
      <c r="M22">
        <v>0.27594370000000001</v>
      </c>
      <c r="N22">
        <v>0</v>
      </c>
      <c r="O22">
        <v>0</v>
      </c>
      <c r="P22" t="s">
        <v>18</v>
      </c>
    </row>
    <row r="23" spans="1:16" x14ac:dyDescent="0.3">
      <c r="A23">
        <v>14</v>
      </c>
      <c r="B23" t="s">
        <v>53</v>
      </c>
      <c r="C23" t="s">
        <v>20</v>
      </c>
      <c r="D23">
        <v>11.70157</v>
      </c>
      <c r="E23">
        <v>-10.967409999999999</v>
      </c>
      <c r="F23">
        <v>-4.0795360000000001</v>
      </c>
      <c r="G23">
        <v>0</v>
      </c>
      <c r="H23">
        <v>-6.0355059999999998</v>
      </c>
      <c r="I23">
        <v>0</v>
      </c>
      <c r="J23">
        <v>0</v>
      </c>
      <c r="K23">
        <v>1.5371939999999999</v>
      </c>
      <c r="L23">
        <v>0</v>
      </c>
      <c r="M23">
        <v>0</v>
      </c>
      <c r="N23">
        <v>1</v>
      </c>
      <c r="O23">
        <v>1</v>
      </c>
      <c r="P23" t="s">
        <v>37</v>
      </c>
    </row>
    <row r="24" spans="1:16" x14ac:dyDescent="0.3">
      <c r="A24">
        <v>15</v>
      </c>
      <c r="B24" t="s">
        <v>54</v>
      </c>
      <c r="C24" t="s">
        <v>17</v>
      </c>
      <c r="D24">
        <v>2.2699820000000002</v>
      </c>
      <c r="E24">
        <v>-2.010834</v>
      </c>
      <c r="F24">
        <v>-1.0532649999999999</v>
      </c>
      <c r="G24">
        <v>0.58198570000000005</v>
      </c>
      <c r="H24">
        <v>-9.3728619999999996</v>
      </c>
      <c r="I24">
        <v>0</v>
      </c>
      <c r="J24">
        <v>0</v>
      </c>
      <c r="K24">
        <v>0</v>
      </c>
      <c r="L24">
        <v>0.53094479999999999</v>
      </c>
      <c r="M24">
        <v>0.27994150000000001</v>
      </c>
      <c r="N24">
        <v>0</v>
      </c>
      <c r="O24">
        <v>0</v>
      </c>
      <c r="P24" t="s">
        <v>18</v>
      </c>
    </row>
    <row r="25" spans="1:16" x14ac:dyDescent="0.3">
      <c r="A25">
        <v>15</v>
      </c>
      <c r="B25" t="s">
        <v>55</v>
      </c>
      <c r="C25" t="s">
        <v>20</v>
      </c>
      <c r="D25">
        <v>2.210534</v>
      </c>
      <c r="E25">
        <v>1.6377409999999999</v>
      </c>
      <c r="F25">
        <v>-1.4846760000000001</v>
      </c>
      <c r="G25">
        <v>1.154369</v>
      </c>
      <c r="H25">
        <v>-14.940860000000001</v>
      </c>
      <c r="I25">
        <v>0</v>
      </c>
      <c r="J25">
        <v>0</v>
      </c>
      <c r="K25">
        <v>0.52976199999999996</v>
      </c>
      <c r="L25">
        <v>1.4290160000000001</v>
      </c>
      <c r="M25">
        <v>3.0806049999999998</v>
      </c>
      <c r="N25">
        <v>0</v>
      </c>
      <c r="O25">
        <v>0</v>
      </c>
      <c r="P25" t="s">
        <v>18</v>
      </c>
    </row>
    <row r="26" spans="1:16" x14ac:dyDescent="0.3">
      <c r="A26">
        <v>15</v>
      </c>
      <c r="B26" t="s">
        <v>56</v>
      </c>
      <c r="C26" t="s">
        <v>22</v>
      </c>
      <c r="D26">
        <v>1.8038620000000001</v>
      </c>
      <c r="E26">
        <v>1.798988</v>
      </c>
      <c r="F26">
        <v>-0.13251499999999999</v>
      </c>
      <c r="G26">
        <v>1.3671279999999999</v>
      </c>
      <c r="H26">
        <v>-12.23687</v>
      </c>
      <c r="I26">
        <v>0</v>
      </c>
      <c r="J26">
        <v>1</v>
      </c>
      <c r="K26">
        <v>2.1852459999999998</v>
      </c>
      <c r="L26">
        <v>1.0747679999999999</v>
      </c>
      <c r="M26">
        <v>1.418947</v>
      </c>
      <c r="N26">
        <v>0</v>
      </c>
      <c r="O26">
        <v>0</v>
      </c>
      <c r="P26" t="s">
        <v>18</v>
      </c>
    </row>
    <row r="27" spans="1:16" x14ac:dyDescent="0.3">
      <c r="A27">
        <v>15</v>
      </c>
      <c r="B27" t="s">
        <v>57</v>
      </c>
      <c r="C27" t="s">
        <v>24</v>
      </c>
      <c r="D27">
        <v>2.1206320000000001</v>
      </c>
      <c r="E27">
        <v>1.0741959999999999</v>
      </c>
      <c r="F27">
        <v>1.828438</v>
      </c>
      <c r="G27">
        <v>0.82700280000000004</v>
      </c>
      <c r="H27">
        <v>-12.06016</v>
      </c>
      <c r="I27">
        <v>0</v>
      </c>
      <c r="J27">
        <v>0</v>
      </c>
      <c r="K27">
        <v>0.18133850000000001</v>
      </c>
      <c r="L27">
        <v>0.52282709999999999</v>
      </c>
      <c r="M27">
        <v>0.19973650000000001</v>
      </c>
      <c r="N27">
        <v>0</v>
      </c>
      <c r="O27">
        <v>0</v>
      </c>
      <c r="P27" t="s">
        <v>18</v>
      </c>
    </row>
    <row r="28" spans="1:16" x14ac:dyDescent="0.3">
      <c r="A28">
        <v>15</v>
      </c>
      <c r="B28" t="s">
        <v>58</v>
      </c>
      <c r="C28" t="s">
        <v>26</v>
      </c>
      <c r="D28">
        <v>1.699929</v>
      </c>
      <c r="E28">
        <v>1.651276</v>
      </c>
      <c r="F28">
        <v>-0.40379330000000002</v>
      </c>
      <c r="G28">
        <v>1.1126</v>
      </c>
      <c r="H28">
        <v>-11.56316</v>
      </c>
      <c r="I28">
        <v>0</v>
      </c>
      <c r="J28">
        <v>0</v>
      </c>
      <c r="K28">
        <v>0</v>
      </c>
      <c r="L28">
        <v>0.52716059999999998</v>
      </c>
      <c r="M28">
        <v>0.2441641</v>
      </c>
      <c r="N28">
        <v>0</v>
      </c>
      <c r="O28">
        <v>0</v>
      </c>
      <c r="P28" t="s">
        <v>18</v>
      </c>
    </row>
    <row r="29" spans="1:16" x14ac:dyDescent="0.3">
      <c r="A29">
        <v>15</v>
      </c>
      <c r="B29" t="s">
        <v>59</v>
      </c>
      <c r="C29" t="s">
        <v>28</v>
      </c>
      <c r="D29">
        <v>1.964423</v>
      </c>
      <c r="E29">
        <v>-1.446655</v>
      </c>
      <c r="F29">
        <v>-1.328964</v>
      </c>
      <c r="G29">
        <v>0.80727409999999999</v>
      </c>
      <c r="H29">
        <v>-13.847390000000001</v>
      </c>
      <c r="I29">
        <v>0</v>
      </c>
      <c r="J29">
        <v>0</v>
      </c>
      <c r="K29">
        <v>0.59581550000000005</v>
      </c>
      <c r="L29">
        <v>1.080017</v>
      </c>
      <c r="M29">
        <v>2.4158379999999999</v>
      </c>
      <c r="N29">
        <v>0</v>
      </c>
      <c r="O29">
        <v>0</v>
      </c>
      <c r="P29" t="s">
        <v>18</v>
      </c>
    </row>
    <row r="30" spans="1:16" x14ac:dyDescent="0.3">
      <c r="A30">
        <v>15</v>
      </c>
      <c r="B30" t="s">
        <v>60</v>
      </c>
      <c r="C30" t="s">
        <v>30</v>
      </c>
      <c r="D30">
        <v>2.576959</v>
      </c>
      <c r="E30">
        <v>-2.1055999999999999</v>
      </c>
      <c r="F30">
        <v>-1.4856529999999999</v>
      </c>
      <c r="G30">
        <v>0.56228880000000003</v>
      </c>
      <c r="H30">
        <v>-18.059159999999999</v>
      </c>
      <c r="I30">
        <v>0</v>
      </c>
      <c r="J30">
        <v>0</v>
      </c>
      <c r="K30">
        <v>1.365801</v>
      </c>
      <c r="L30">
        <v>1.091675</v>
      </c>
      <c r="M30">
        <v>1.3053380000000001</v>
      </c>
      <c r="N30">
        <v>0</v>
      </c>
      <c r="O30">
        <v>0</v>
      </c>
      <c r="P30" t="s">
        <v>18</v>
      </c>
    </row>
    <row r="31" spans="1:16" x14ac:dyDescent="0.3">
      <c r="A31">
        <v>15</v>
      </c>
      <c r="B31" t="s">
        <v>61</v>
      </c>
      <c r="C31" t="s">
        <v>33</v>
      </c>
      <c r="D31">
        <v>8.8805479999999992</v>
      </c>
      <c r="E31">
        <v>-0.12032320000000001</v>
      </c>
      <c r="F31">
        <v>8.8797320000000006</v>
      </c>
      <c r="G31">
        <v>0</v>
      </c>
      <c r="H31">
        <v>-15.22833</v>
      </c>
      <c r="I31">
        <v>0</v>
      </c>
      <c r="J31">
        <v>0</v>
      </c>
      <c r="K31">
        <v>3.1718630000000001</v>
      </c>
      <c r="L31">
        <v>0.68634030000000001</v>
      </c>
      <c r="M31">
        <v>1.5263409999999999</v>
      </c>
      <c r="N31">
        <v>1</v>
      </c>
      <c r="O31">
        <v>0</v>
      </c>
      <c r="P31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2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22</v>
      </c>
      <c r="B2" t="s">
        <v>16</v>
      </c>
      <c r="C2" t="s">
        <v>17</v>
      </c>
      <c r="D2">
        <v>3.5708839999999999</v>
      </c>
      <c r="E2">
        <v>5.6167599999999998E-2</v>
      </c>
      <c r="F2">
        <v>3.5704419999999999</v>
      </c>
      <c r="G2">
        <v>0</v>
      </c>
      <c r="H2">
        <v>0</v>
      </c>
      <c r="I2">
        <v>0</v>
      </c>
      <c r="J2">
        <v>1</v>
      </c>
      <c r="K2">
        <v>3.7237399999999998</v>
      </c>
      <c r="L2">
        <v>0</v>
      </c>
      <c r="M2">
        <v>0</v>
      </c>
      <c r="N2">
        <v>1</v>
      </c>
      <c r="O2">
        <v>1</v>
      </c>
      <c r="P2" t="s">
        <v>43</v>
      </c>
    </row>
    <row r="3" spans="1:16" x14ac:dyDescent="0.3">
      <c r="A3">
        <v>23</v>
      </c>
      <c r="B3" t="s">
        <v>19</v>
      </c>
      <c r="C3" t="s">
        <v>17</v>
      </c>
      <c r="D3">
        <v>1.4076900000000001</v>
      </c>
      <c r="E3">
        <v>0.13214110000000001</v>
      </c>
      <c r="F3">
        <v>1.4014740000000001</v>
      </c>
      <c r="G3">
        <v>1.567728</v>
      </c>
      <c r="H3">
        <v>-15.58489</v>
      </c>
      <c r="I3">
        <v>0</v>
      </c>
      <c r="J3">
        <v>0</v>
      </c>
      <c r="K3">
        <v>1.4286140000000001</v>
      </c>
      <c r="L3">
        <v>1.7105710000000001</v>
      </c>
      <c r="M3">
        <v>2.6291009999999999</v>
      </c>
      <c r="N3">
        <v>0</v>
      </c>
      <c r="O3">
        <v>0</v>
      </c>
      <c r="P3" t="s">
        <v>18</v>
      </c>
    </row>
    <row r="4" spans="1:16" x14ac:dyDescent="0.3">
      <c r="A4">
        <v>23</v>
      </c>
      <c r="B4" t="s">
        <v>21</v>
      </c>
      <c r="C4" t="s">
        <v>20</v>
      </c>
      <c r="D4">
        <v>0.51873279999999999</v>
      </c>
      <c r="E4">
        <v>0.46614070000000002</v>
      </c>
      <c r="F4">
        <v>0.2275887</v>
      </c>
      <c r="G4">
        <v>2.8276780000000001</v>
      </c>
      <c r="H4">
        <v>-6.2065939999999999</v>
      </c>
      <c r="I4">
        <v>0</v>
      </c>
      <c r="J4">
        <v>0</v>
      </c>
      <c r="K4">
        <v>0.86744200000000005</v>
      </c>
      <c r="L4">
        <v>0.53698729999999995</v>
      </c>
      <c r="M4">
        <v>0.2337659</v>
      </c>
      <c r="N4">
        <v>0</v>
      </c>
      <c r="O4">
        <v>0</v>
      </c>
      <c r="P4" t="s">
        <v>18</v>
      </c>
    </row>
    <row r="5" spans="1:16" x14ac:dyDescent="0.3">
      <c r="A5">
        <v>23</v>
      </c>
      <c r="B5" t="s">
        <v>23</v>
      </c>
      <c r="C5" t="s">
        <v>22</v>
      </c>
      <c r="D5">
        <v>4.3789439999999997</v>
      </c>
      <c r="E5">
        <v>0.65534210000000004</v>
      </c>
      <c r="F5">
        <v>4.3296279999999996</v>
      </c>
      <c r="G5">
        <v>0</v>
      </c>
      <c r="H5">
        <v>-6.2065939999999999</v>
      </c>
      <c r="I5">
        <v>0</v>
      </c>
      <c r="J5">
        <v>5</v>
      </c>
      <c r="K5">
        <v>7.0496679999999996</v>
      </c>
      <c r="L5">
        <v>0</v>
      </c>
      <c r="M5">
        <v>0</v>
      </c>
      <c r="N5">
        <v>1</v>
      </c>
      <c r="O5">
        <v>1</v>
      </c>
      <c r="P5" t="s">
        <v>43</v>
      </c>
    </row>
    <row r="6" spans="1:16" x14ac:dyDescent="0.3">
      <c r="A6">
        <v>24</v>
      </c>
      <c r="B6" t="s">
        <v>25</v>
      </c>
      <c r="C6" t="s">
        <v>17</v>
      </c>
      <c r="D6">
        <v>24.16536</v>
      </c>
      <c r="E6">
        <v>0.644455</v>
      </c>
      <c r="F6">
        <v>24.156759999999998</v>
      </c>
      <c r="G6">
        <v>0</v>
      </c>
      <c r="H6">
        <v>-6.2065939999999999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 t="s">
        <v>43</v>
      </c>
    </row>
    <row r="7" spans="1:16" x14ac:dyDescent="0.3">
      <c r="A7">
        <v>25</v>
      </c>
      <c r="B7" t="s">
        <v>27</v>
      </c>
      <c r="C7" t="s">
        <v>17</v>
      </c>
      <c r="D7">
        <v>2.3365459999999998</v>
      </c>
      <c r="E7">
        <v>-0.48301699999999997</v>
      </c>
      <c r="F7">
        <v>2.286076</v>
      </c>
      <c r="G7">
        <v>0.59089590000000003</v>
      </c>
      <c r="H7">
        <v>-13.04186</v>
      </c>
      <c r="I7">
        <v>0</v>
      </c>
      <c r="J7">
        <v>0</v>
      </c>
      <c r="K7">
        <v>0.58729070000000005</v>
      </c>
      <c r="L7">
        <v>0.58618159999999997</v>
      </c>
      <c r="M7">
        <v>0.81137769999999998</v>
      </c>
      <c r="N7">
        <v>0</v>
      </c>
      <c r="O7">
        <v>0</v>
      </c>
      <c r="P7" t="s">
        <v>18</v>
      </c>
    </row>
    <row r="8" spans="1:16" x14ac:dyDescent="0.3">
      <c r="A8">
        <v>25</v>
      </c>
      <c r="B8" t="s">
        <v>29</v>
      </c>
      <c r="C8" t="s">
        <v>20</v>
      </c>
      <c r="D8">
        <v>3.7740559999999999</v>
      </c>
      <c r="E8">
        <v>2.890625</v>
      </c>
      <c r="F8">
        <v>2.4264760000000001</v>
      </c>
      <c r="G8">
        <v>0</v>
      </c>
      <c r="H8">
        <v>-10.36347</v>
      </c>
      <c r="I8">
        <v>0</v>
      </c>
      <c r="J8">
        <v>0</v>
      </c>
      <c r="K8">
        <v>2.133734</v>
      </c>
      <c r="L8">
        <v>0.61755369999999998</v>
      </c>
      <c r="M8">
        <v>1.3051779999999999</v>
      </c>
      <c r="N8">
        <v>1</v>
      </c>
      <c r="O8">
        <v>0</v>
      </c>
      <c r="P8" t="s">
        <v>31</v>
      </c>
    </row>
    <row r="9" spans="1:16" x14ac:dyDescent="0.3">
      <c r="A9">
        <v>25</v>
      </c>
      <c r="B9" t="s">
        <v>32</v>
      </c>
      <c r="C9" t="s">
        <v>22</v>
      </c>
      <c r="D9">
        <v>2.8585470000000002</v>
      </c>
      <c r="E9">
        <v>1.780716</v>
      </c>
      <c r="F9">
        <v>2.236145</v>
      </c>
      <c r="G9">
        <v>0.22789119999999999</v>
      </c>
      <c r="H9">
        <v>-17.916599999999999</v>
      </c>
      <c r="I9">
        <v>0</v>
      </c>
      <c r="J9">
        <v>1</v>
      </c>
      <c r="K9">
        <v>3.1713719999999999</v>
      </c>
      <c r="L9">
        <v>0.52771000000000001</v>
      </c>
      <c r="M9">
        <v>0.25038680000000002</v>
      </c>
      <c r="N9">
        <v>0</v>
      </c>
      <c r="O9">
        <v>0</v>
      </c>
      <c r="P9" t="s">
        <v>36</v>
      </c>
    </row>
    <row r="10" spans="1:16" x14ac:dyDescent="0.3">
      <c r="A10">
        <v>25</v>
      </c>
      <c r="B10" t="s">
        <v>38</v>
      </c>
      <c r="C10" t="s">
        <v>24</v>
      </c>
      <c r="D10">
        <v>32.160179999999997</v>
      </c>
      <c r="E10">
        <v>32.074939999999998</v>
      </c>
      <c r="F10">
        <v>-2.3400340000000002</v>
      </c>
      <c r="G10">
        <v>0</v>
      </c>
      <c r="H10">
        <v>-17.916599999999999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 t="s">
        <v>51</v>
      </c>
    </row>
    <row r="11" spans="1:16" x14ac:dyDescent="0.3">
      <c r="A11">
        <v>26</v>
      </c>
      <c r="B11" t="s">
        <v>39</v>
      </c>
      <c r="C11" t="s">
        <v>17</v>
      </c>
      <c r="D11">
        <v>3.6035750000000002</v>
      </c>
      <c r="E11">
        <v>0.48873899999999998</v>
      </c>
      <c r="F11">
        <v>3.5702780000000001</v>
      </c>
      <c r="G11">
        <v>0</v>
      </c>
      <c r="H11">
        <v>-17.916599999999999</v>
      </c>
      <c r="I11">
        <v>0</v>
      </c>
      <c r="J11">
        <v>1</v>
      </c>
      <c r="K11">
        <v>4.6220319999999999</v>
      </c>
      <c r="L11">
        <v>0</v>
      </c>
      <c r="M11">
        <v>0</v>
      </c>
      <c r="N11">
        <v>1</v>
      </c>
      <c r="O11">
        <v>1</v>
      </c>
      <c r="P11" t="s">
        <v>43</v>
      </c>
    </row>
    <row r="12" spans="1:16" x14ac:dyDescent="0.3">
      <c r="A12">
        <v>27</v>
      </c>
      <c r="B12" t="s">
        <v>40</v>
      </c>
      <c r="C12" t="s">
        <v>17</v>
      </c>
      <c r="D12">
        <v>3.648107</v>
      </c>
      <c r="E12">
        <v>-0.75025940000000002</v>
      </c>
      <c r="F12">
        <v>3.5701260000000001</v>
      </c>
      <c r="G12">
        <v>0</v>
      </c>
      <c r="H12">
        <v>-17.916599999999999</v>
      </c>
      <c r="I12">
        <v>0</v>
      </c>
      <c r="J12">
        <v>1</v>
      </c>
      <c r="K12">
        <v>7.2526130000000002</v>
      </c>
      <c r="L12">
        <v>0</v>
      </c>
      <c r="M12">
        <v>0</v>
      </c>
      <c r="N12">
        <v>1</v>
      </c>
      <c r="O12">
        <v>1</v>
      </c>
      <c r="P12" t="s">
        <v>43</v>
      </c>
    </row>
    <row r="13" spans="1:16" x14ac:dyDescent="0.3">
      <c r="A13">
        <v>28</v>
      </c>
      <c r="B13" t="s">
        <v>41</v>
      </c>
      <c r="C13" t="s">
        <v>17</v>
      </c>
      <c r="D13">
        <v>2.7259509999999998</v>
      </c>
      <c r="E13">
        <v>1.335693</v>
      </c>
      <c r="F13">
        <v>-2.3762859999999999</v>
      </c>
      <c r="G13">
        <v>0.38452579999999997</v>
      </c>
      <c r="H13">
        <v>-17.203299999999999</v>
      </c>
      <c r="I13">
        <v>0</v>
      </c>
      <c r="J13">
        <v>0</v>
      </c>
      <c r="K13">
        <v>1.3640099999999999</v>
      </c>
      <c r="L13">
        <v>0.54443359999999996</v>
      </c>
      <c r="M13">
        <v>0.29116029999999998</v>
      </c>
      <c r="N13">
        <v>0</v>
      </c>
      <c r="O13">
        <v>0</v>
      </c>
      <c r="P13" t="s">
        <v>18</v>
      </c>
    </row>
    <row r="14" spans="1:16" x14ac:dyDescent="0.3">
      <c r="A14">
        <v>28</v>
      </c>
      <c r="B14" t="s">
        <v>42</v>
      </c>
      <c r="C14" t="s">
        <v>20</v>
      </c>
      <c r="D14">
        <v>3.130776</v>
      </c>
      <c r="E14">
        <v>2.4408569999999998</v>
      </c>
      <c r="F14">
        <v>1.9606060000000001</v>
      </c>
      <c r="G14">
        <v>0.2409482</v>
      </c>
      <c r="H14">
        <v>-15.81589</v>
      </c>
      <c r="I14">
        <v>0</v>
      </c>
      <c r="J14">
        <v>0</v>
      </c>
      <c r="K14">
        <v>8.9051870000000005E-2</v>
      </c>
      <c r="L14">
        <v>1.7218020000000001</v>
      </c>
      <c r="M14">
        <v>5.387791</v>
      </c>
      <c r="N14">
        <v>0</v>
      </c>
      <c r="O14">
        <v>0</v>
      </c>
      <c r="P14" t="s">
        <v>36</v>
      </c>
    </row>
    <row r="15" spans="1:16" x14ac:dyDescent="0.3">
      <c r="A15">
        <v>28</v>
      </c>
      <c r="B15" t="s">
        <v>44</v>
      </c>
      <c r="C15" t="s">
        <v>22</v>
      </c>
      <c r="D15">
        <v>1.646263</v>
      </c>
      <c r="E15">
        <v>1.552414</v>
      </c>
      <c r="F15">
        <v>-0.54789730000000003</v>
      </c>
      <c r="G15">
        <v>1.520219</v>
      </c>
      <c r="H15">
        <v>-21.805689999999998</v>
      </c>
      <c r="I15">
        <v>0</v>
      </c>
      <c r="J15">
        <v>0</v>
      </c>
      <c r="K15">
        <v>0.55919569999999996</v>
      </c>
      <c r="L15">
        <v>0.54431149999999995</v>
      </c>
      <c r="M15">
        <v>0.29256720000000003</v>
      </c>
      <c r="N15">
        <v>0</v>
      </c>
      <c r="O15">
        <v>0</v>
      </c>
      <c r="P15" t="s">
        <v>18</v>
      </c>
    </row>
    <row r="16" spans="1:16" x14ac:dyDescent="0.3">
      <c r="A16">
        <v>28</v>
      </c>
      <c r="B16" t="s">
        <v>45</v>
      </c>
      <c r="C16" t="s">
        <v>24</v>
      </c>
      <c r="D16">
        <v>5.4109109999999996</v>
      </c>
      <c r="E16">
        <v>2.4548190000000001</v>
      </c>
      <c r="F16">
        <v>4.8220140000000002</v>
      </c>
      <c r="G16">
        <v>0</v>
      </c>
      <c r="H16">
        <v>-21.805689999999998</v>
      </c>
      <c r="I16">
        <v>0</v>
      </c>
      <c r="J16">
        <v>2</v>
      </c>
      <c r="K16">
        <v>4.9325340000000004</v>
      </c>
      <c r="L16">
        <v>0</v>
      </c>
      <c r="M16">
        <v>0</v>
      </c>
      <c r="N16">
        <v>1</v>
      </c>
      <c r="O16">
        <v>1</v>
      </c>
      <c r="P16" t="s">
        <v>43</v>
      </c>
    </row>
    <row r="17" spans="1:16" x14ac:dyDescent="0.3">
      <c r="A17">
        <v>29</v>
      </c>
      <c r="B17" t="s">
        <v>46</v>
      </c>
      <c r="C17" t="s">
        <v>17</v>
      </c>
      <c r="D17">
        <v>2.0375480000000001</v>
      </c>
      <c r="E17">
        <v>1.639526</v>
      </c>
      <c r="F17">
        <v>1.2097739999999999</v>
      </c>
      <c r="G17">
        <v>1.0849869999999999</v>
      </c>
      <c r="H17">
        <v>-14.602959999999999</v>
      </c>
      <c r="I17">
        <v>0</v>
      </c>
      <c r="J17">
        <v>0</v>
      </c>
      <c r="K17">
        <v>1.178561</v>
      </c>
      <c r="L17">
        <v>0.61999510000000002</v>
      </c>
      <c r="M17">
        <v>0.77115319999999998</v>
      </c>
      <c r="N17">
        <v>0</v>
      </c>
      <c r="O17">
        <v>0</v>
      </c>
      <c r="P17" t="s">
        <v>18</v>
      </c>
    </row>
    <row r="18" spans="1:16" x14ac:dyDescent="0.3">
      <c r="A18">
        <v>29</v>
      </c>
      <c r="B18" t="s">
        <v>47</v>
      </c>
      <c r="C18" t="s">
        <v>20</v>
      </c>
      <c r="D18">
        <v>4.1192190000000002</v>
      </c>
      <c r="E18">
        <v>4.1175990000000002</v>
      </c>
      <c r="F18">
        <v>0.1155052</v>
      </c>
      <c r="G18">
        <v>0</v>
      </c>
      <c r="H18">
        <v>-14.602959999999999</v>
      </c>
      <c r="I18">
        <v>0</v>
      </c>
      <c r="J18">
        <v>1</v>
      </c>
      <c r="K18">
        <v>5.334219</v>
      </c>
      <c r="L18">
        <v>0</v>
      </c>
      <c r="M18">
        <v>0</v>
      </c>
      <c r="N18">
        <v>1</v>
      </c>
      <c r="O18">
        <v>1</v>
      </c>
      <c r="P18" t="s">
        <v>51</v>
      </c>
    </row>
    <row r="19" spans="1:16" x14ac:dyDescent="0.3">
      <c r="A19">
        <v>30</v>
      </c>
      <c r="B19" t="s">
        <v>48</v>
      </c>
      <c r="C19" t="s">
        <v>17</v>
      </c>
      <c r="D19">
        <v>2.9699200000000001</v>
      </c>
      <c r="E19">
        <v>-2.7047119999999998</v>
      </c>
      <c r="F19">
        <v>1.2267680000000001</v>
      </c>
      <c r="G19">
        <v>0</v>
      </c>
      <c r="H19">
        <v>-19.141649999999998</v>
      </c>
      <c r="I19">
        <v>0</v>
      </c>
      <c r="J19">
        <v>1</v>
      </c>
      <c r="K19">
        <v>0.82805439999999997</v>
      </c>
      <c r="L19">
        <v>0.55798340000000002</v>
      </c>
      <c r="M19">
        <v>0.35521200000000003</v>
      </c>
      <c r="N19">
        <v>1</v>
      </c>
      <c r="O19">
        <v>0</v>
      </c>
      <c r="P19" t="s">
        <v>31</v>
      </c>
    </row>
    <row r="20" spans="1:16" x14ac:dyDescent="0.3">
      <c r="A20">
        <v>30</v>
      </c>
      <c r="B20" t="s">
        <v>49</v>
      </c>
      <c r="C20" t="s">
        <v>20</v>
      </c>
      <c r="D20">
        <v>3.7565900000000001</v>
      </c>
      <c r="E20">
        <v>0.81816100000000003</v>
      </c>
      <c r="F20">
        <v>3.6664119999999998</v>
      </c>
      <c r="G20">
        <v>0</v>
      </c>
      <c r="H20">
        <v>-19.141649999999998</v>
      </c>
      <c r="I20">
        <v>0</v>
      </c>
      <c r="J20">
        <v>1</v>
      </c>
      <c r="K20">
        <v>3.6394470000000001</v>
      </c>
      <c r="L20">
        <v>0</v>
      </c>
      <c r="M20">
        <v>0</v>
      </c>
      <c r="N20">
        <v>1</v>
      </c>
      <c r="O20">
        <v>1</v>
      </c>
      <c r="P20" t="s">
        <v>43</v>
      </c>
    </row>
    <row r="21" spans="1:16" x14ac:dyDescent="0.3">
      <c r="A21">
        <v>31</v>
      </c>
      <c r="B21" t="s">
        <v>50</v>
      </c>
      <c r="C21" t="s">
        <v>17</v>
      </c>
      <c r="D21">
        <v>0.93116429999999994</v>
      </c>
      <c r="E21">
        <v>0.92866519999999997</v>
      </c>
      <c r="F21">
        <v>-6.8176269999999997E-2</v>
      </c>
      <c r="G21">
        <v>2.2503549999999999</v>
      </c>
      <c r="H21">
        <v>-15.875590000000001</v>
      </c>
      <c r="I21">
        <v>0</v>
      </c>
      <c r="J21">
        <v>0</v>
      </c>
      <c r="K21">
        <v>0.1141718</v>
      </c>
      <c r="L21">
        <v>0.63928220000000002</v>
      </c>
      <c r="M21">
        <v>1.2317530000000001</v>
      </c>
      <c r="N21">
        <v>0</v>
      </c>
      <c r="O21">
        <v>0</v>
      </c>
      <c r="P21" t="s">
        <v>18</v>
      </c>
    </row>
    <row r="22" spans="1:16" x14ac:dyDescent="0.3">
      <c r="A22">
        <v>31</v>
      </c>
      <c r="B22" t="s">
        <v>52</v>
      </c>
      <c r="C22" t="s">
        <v>20</v>
      </c>
      <c r="D22">
        <v>0.76446349999999996</v>
      </c>
      <c r="E22">
        <v>0.5270996</v>
      </c>
      <c r="F22">
        <v>0.55368799999999996</v>
      </c>
      <c r="G22">
        <v>2.6159530000000002</v>
      </c>
      <c r="H22">
        <v>-13.891299999999999</v>
      </c>
      <c r="I22">
        <v>0</v>
      </c>
      <c r="J22">
        <v>0</v>
      </c>
      <c r="K22">
        <v>0.50997349999999997</v>
      </c>
      <c r="L22">
        <v>1.058594</v>
      </c>
      <c r="M22">
        <v>1.432739</v>
      </c>
      <c r="N22">
        <v>0</v>
      </c>
      <c r="O22">
        <v>0</v>
      </c>
      <c r="P22" t="s">
        <v>18</v>
      </c>
    </row>
    <row r="23" spans="1:16" x14ac:dyDescent="0.3">
      <c r="A23">
        <v>31</v>
      </c>
      <c r="B23" t="s">
        <v>53</v>
      </c>
      <c r="C23" t="s">
        <v>22</v>
      </c>
      <c r="D23">
        <v>3.8476409999999999</v>
      </c>
      <c r="E23">
        <v>1.8840710000000001</v>
      </c>
      <c r="F23">
        <v>3.3547899999999999</v>
      </c>
      <c r="G23">
        <v>0</v>
      </c>
      <c r="H23">
        <v>-21.03152</v>
      </c>
      <c r="I23">
        <v>0</v>
      </c>
      <c r="J23">
        <v>2</v>
      </c>
      <c r="K23">
        <v>7.8564959999999999</v>
      </c>
      <c r="L23">
        <v>0</v>
      </c>
      <c r="M23">
        <v>1.624139</v>
      </c>
      <c r="N23">
        <v>1</v>
      </c>
      <c r="O23">
        <v>1</v>
      </c>
      <c r="P23" t="s">
        <v>43</v>
      </c>
    </row>
    <row r="24" spans="1:16" x14ac:dyDescent="0.3">
      <c r="A24">
        <v>32</v>
      </c>
      <c r="B24" t="s">
        <v>54</v>
      </c>
      <c r="C24" t="s">
        <v>17</v>
      </c>
      <c r="D24">
        <v>2.8706909999999999</v>
      </c>
      <c r="E24">
        <v>-2.7921140000000002</v>
      </c>
      <c r="F24">
        <v>-0.66705700000000001</v>
      </c>
      <c r="G24">
        <v>0</v>
      </c>
      <c r="H24">
        <v>-18.712980000000002</v>
      </c>
      <c r="I24">
        <v>0</v>
      </c>
      <c r="J24">
        <v>2</v>
      </c>
      <c r="K24">
        <v>2.650163</v>
      </c>
      <c r="L24">
        <v>0</v>
      </c>
      <c r="M24">
        <v>0.38428649999999998</v>
      </c>
      <c r="N24">
        <v>1</v>
      </c>
      <c r="O24">
        <v>1</v>
      </c>
      <c r="P24" t="s">
        <v>37</v>
      </c>
    </row>
    <row r="25" spans="1:16" x14ac:dyDescent="0.3">
      <c r="A25">
        <v>32</v>
      </c>
      <c r="B25" t="s">
        <v>55</v>
      </c>
      <c r="C25" t="s">
        <v>22</v>
      </c>
      <c r="D25">
        <v>1.230518</v>
      </c>
      <c r="E25">
        <v>1.211044</v>
      </c>
      <c r="F25">
        <v>-0.21804809999999999</v>
      </c>
      <c r="G25">
        <v>1.9402820000000001</v>
      </c>
      <c r="H25">
        <v>-17.58323</v>
      </c>
      <c r="I25">
        <v>0</v>
      </c>
      <c r="J25">
        <v>0</v>
      </c>
      <c r="K25">
        <v>0</v>
      </c>
      <c r="L25">
        <v>0.5422363</v>
      </c>
      <c r="M25">
        <v>0.28174399999999999</v>
      </c>
      <c r="N25">
        <v>0</v>
      </c>
      <c r="O25">
        <v>0</v>
      </c>
      <c r="P25" t="s">
        <v>18</v>
      </c>
    </row>
    <row r="26" spans="1:16" x14ac:dyDescent="0.3">
      <c r="A26">
        <v>32</v>
      </c>
      <c r="B26" t="s">
        <v>56</v>
      </c>
      <c r="C26" t="s">
        <v>24</v>
      </c>
      <c r="D26">
        <v>3.213381</v>
      </c>
      <c r="E26">
        <v>1.9356990000000001</v>
      </c>
      <c r="F26">
        <v>2.564934</v>
      </c>
      <c r="G26">
        <v>0</v>
      </c>
      <c r="H26">
        <v>-16.153860000000002</v>
      </c>
      <c r="I26">
        <v>0</v>
      </c>
      <c r="J26">
        <v>0</v>
      </c>
      <c r="K26">
        <v>1.4158740000000001</v>
      </c>
      <c r="L26">
        <v>0.68359380000000003</v>
      </c>
      <c r="M26">
        <v>1.798983</v>
      </c>
      <c r="N26">
        <v>1</v>
      </c>
      <c r="O26">
        <v>0</v>
      </c>
      <c r="P26" t="s">
        <v>31</v>
      </c>
    </row>
    <row r="27" spans="1:16" x14ac:dyDescent="0.3">
      <c r="A27">
        <v>32</v>
      </c>
      <c r="B27" t="s">
        <v>57</v>
      </c>
      <c r="C27" t="s">
        <v>26</v>
      </c>
      <c r="D27">
        <v>1.421316</v>
      </c>
      <c r="E27">
        <v>1.3421400000000001</v>
      </c>
      <c r="F27">
        <v>0.46775820000000001</v>
      </c>
      <c r="G27">
        <v>1.548136</v>
      </c>
      <c r="H27">
        <v>-19.532509999999998</v>
      </c>
      <c r="I27">
        <v>0</v>
      </c>
      <c r="J27">
        <v>0</v>
      </c>
      <c r="K27">
        <v>0</v>
      </c>
      <c r="L27">
        <v>0.51867680000000005</v>
      </c>
      <c r="M27">
        <v>0.23325950000000001</v>
      </c>
      <c r="N27">
        <v>0</v>
      </c>
      <c r="O27">
        <v>0</v>
      </c>
      <c r="P27" t="s">
        <v>18</v>
      </c>
    </row>
    <row r="28" spans="1:16" x14ac:dyDescent="0.3">
      <c r="A28">
        <v>32</v>
      </c>
      <c r="B28" t="s">
        <v>58</v>
      </c>
      <c r="C28" t="s">
        <v>28</v>
      </c>
      <c r="D28">
        <v>8.5272070000000006</v>
      </c>
      <c r="E28">
        <v>5.9819529999999999</v>
      </c>
      <c r="F28">
        <v>-6.0769650000000004</v>
      </c>
      <c r="G28">
        <v>0</v>
      </c>
      <c r="H28">
        <v>-19.532509999999998</v>
      </c>
      <c r="I28">
        <v>0</v>
      </c>
      <c r="J28">
        <v>1</v>
      </c>
      <c r="K28">
        <v>7.8814120000000001</v>
      </c>
      <c r="L28">
        <v>0</v>
      </c>
      <c r="M28">
        <v>0</v>
      </c>
      <c r="N28">
        <v>1</v>
      </c>
      <c r="O28">
        <v>1</v>
      </c>
      <c r="P28" t="s">
        <v>35</v>
      </c>
    </row>
    <row r="29" spans="1:16" x14ac:dyDescent="0.3">
      <c r="A29">
        <v>33</v>
      </c>
      <c r="B29" t="s">
        <v>59</v>
      </c>
      <c r="C29" t="s">
        <v>17</v>
      </c>
      <c r="D29">
        <v>2.3395359999999998</v>
      </c>
      <c r="E29">
        <v>-0.66827389999999998</v>
      </c>
      <c r="F29">
        <v>-2.2420620000000002</v>
      </c>
      <c r="G29">
        <v>0.63086960000000003</v>
      </c>
      <c r="H29">
        <v>-17.723600000000001</v>
      </c>
      <c r="I29">
        <v>0</v>
      </c>
      <c r="J29">
        <v>0</v>
      </c>
      <c r="K29">
        <v>0</v>
      </c>
      <c r="L29">
        <v>0.53125</v>
      </c>
      <c r="M29">
        <v>0.30263800000000002</v>
      </c>
      <c r="N29">
        <v>0</v>
      </c>
      <c r="O29">
        <v>0</v>
      </c>
      <c r="P29" t="s">
        <v>18</v>
      </c>
    </row>
    <row r="30" spans="1:16" x14ac:dyDescent="0.3">
      <c r="A30">
        <v>33</v>
      </c>
      <c r="B30" t="s">
        <v>60</v>
      </c>
      <c r="C30" t="s">
        <v>20</v>
      </c>
      <c r="D30">
        <v>2.6811769999999999</v>
      </c>
      <c r="E30">
        <v>0.30982969999999999</v>
      </c>
      <c r="F30">
        <v>-2.6632159999999998</v>
      </c>
      <c r="G30">
        <v>0.78406050000000005</v>
      </c>
      <c r="H30">
        <v>-15.2615</v>
      </c>
      <c r="I30">
        <v>0</v>
      </c>
      <c r="J30">
        <v>0</v>
      </c>
      <c r="K30">
        <v>1.4223490000000001</v>
      </c>
      <c r="L30">
        <v>0.53369140000000004</v>
      </c>
      <c r="M30">
        <v>0.19526760000000001</v>
      </c>
      <c r="N30">
        <v>0</v>
      </c>
      <c r="O30">
        <v>0</v>
      </c>
      <c r="P30" t="s">
        <v>18</v>
      </c>
    </row>
    <row r="31" spans="1:16" x14ac:dyDescent="0.3">
      <c r="A31">
        <v>33</v>
      </c>
      <c r="B31" t="s">
        <v>61</v>
      </c>
      <c r="C31" t="s">
        <v>22</v>
      </c>
      <c r="D31">
        <v>3.7474850000000002</v>
      </c>
      <c r="E31">
        <v>2.2564769999999998</v>
      </c>
      <c r="F31">
        <v>2.9919820000000001</v>
      </c>
      <c r="G31">
        <v>0</v>
      </c>
      <c r="H31">
        <v>-15.2615</v>
      </c>
      <c r="I31">
        <v>0</v>
      </c>
      <c r="J31">
        <v>2</v>
      </c>
      <c r="K31">
        <v>21.190840000000001</v>
      </c>
      <c r="L31">
        <v>0</v>
      </c>
      <c r="M31">
        <v>0</v>
      </c>
      <c r="N31">
        <v>1</v>
      </c>
      <c r="O31">
        <v>1</v>
      </c>
      <c r="P31" t="s">
        <v>43</v>
      </c>
    </row>
    <row r="32" spans="1:16" x14ac:dyDescent="0.3">
      <c r="A32">
        <v>34</v>
      </c>
      <c r="B32" t="s">
        <v>62</v>
      </c>
      <c r="C32" t="s">
        <v>17</v>
      </c>
      <c r="D32">
        <v>3.081439</v>
      </c>
      <c r="E32">
        <v>-1.992767</v>
      </c>
      <c r="F32">
        <v>2.350349</v>
      </c>
      <c r="G32">
        <v>0</v>
      </c>
      <c r="H32">
        <v>-16.025169999999999</v>
      </c>
      <c r="I32">
        <v>0</v>
      </c>
      <c r="J32">
        <v>0</v>
      </c>
      <c r="K32">
        <v>1.1223190000000001</v>
      </c>
      <c r="L32">
        <v>0.54919430000000002</v>
      </c>
      <c r="M32">
        <v>0.2854988</v>
      </c>
      <c r="N32">
        <v>1</v>
      </c>
      <c r="O32">
        <v>0</v>
      </c>
      <c r="P32" t="s">
        <v>31</v>
      </c>
    </row>
    <row r="33" spans="1:16" x14ac:dyDescent="0.3">
      <c r="A33">
        <v>34</v>
      </c>
      <c r="B33" t="s">
        <v>63</v>
      </c>
      <c r="C33" t="s">
        <v>20</v>
      </c>
      <c r="D33">
        <v>0.8260033</v>
      </c>
      <c r="E33">
        <v>-0.22966</v>
      </c>
      <c r="F33">
        <v>-0.79343410000000003</v>
      </c>
      <c r="G33">
        <v>2.6943519999999999</v>
      </c>
      <c r="H33">
        <v>-16.840810000000001</v>
      </c>
      <c r="I33">
        <v>0</v>
      </c>
      <c r="J33">
        <v>0</v>
      </c>
      <c r="K33">
        <v>0</v>
      </c>
      <c r="L33">
        <v>0.53808590000000001</v>
      </c>
      <c r="M33">
        <v>0.20883860000000001</v>
      </c>
      <c r="N33">
        <v>0</v>
      </c>
      <c r="O33">
        <v>0</v>
      </c>
      <c r="P33" t="s">
        <v>18</v>
      </c>
    </row>
    <row r="34" spans="1:16" x14ac:dyDescent="0.3">
      <c r="A34">
        <v>34</v>
      </c>
      <c r="B34" t="s">
        <v>64</v>
      </c>
      <c r="C34" t="s">
        <v>22</v>
      </c>
      <c r="D34">
        <v>6.7389099999999997</v>
      </c>
      <c r="E34">
        <v>-0.84161379999999997</v>
      </c>
      <c r="F34">
        <v>-6.6861499999999996</v>
      </c>
      <c r="G34">
        <v>0</v>
      </c>
      <c r="H34">
        <v>-16.840810000000001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 t="s">
        <v>35</v>
      </c>
    </row>
    <row r="35" spans="1:16" x14ac:dyDescent="0.3">
      <c r="A35">
        <v>35</v>
      </c>
      <c r="B35" t="s">
        <v>65</v>
      </c>
      <c r="C35" t="s">
        <v>17</v>
      </c>
      <c r="D35">
        <v>7.4741280000000003</v>
      </c>
      <c r="E35">
        <v>-5.7452240000000003</v>
      </c>
      <c r="F35">
        <v>-4.7806889999999997</v>
      </c>
      <c r="G35">
        <v>0</v>
      </c>
      <c r="H35">
        <v>-16.840810000000001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 t="s">
        <v>37</v>
      </c>
    </row>
    <row r="36" spans="1:16" x14ac:dyDescent="0.3">
      <c r="A36">
        <v>36</v>
      </c>
      <c r="B36" t="s">
        <v>66</v>
      </c>
      <c r="C36" t="s">
        <v>17</v>
      </c>
      <c r="D36">
        <v>2.990389</v>
      </c>
      <c r="E36">
        <v>2.2720339999999999E-2</v>
      </c>
      <c r="F36">
        <v>2.9903029999999999</v>
      </c>
      <c r="G36">
        <v>0</v>
      </c>
      <c r="H36">
        <v>4.8643809999999998</v>
      </c>
      <c r="I36">
        <v>0</v>
      </c>
      <c r="J36">
        <v>0</v>
      </c>
      <c r="K36">
        <v>1.835127</v>
      </c>
      <c r="L36">
        <v>1.3261719999999999</v>
      </c>
      <c r="M36">
        <v>2.5943809999999998</v>
      </c>
      <c r="N36">
        <v>1</v>
      </c>
      <c r="O36">
        <v>0</v>
      </c>
      <c r="P36" t="s">
        <v>31</v>
      </c>
    </row>
    <row r="37" spans="1:16" x14ac:dyDescent="0.3">
      <c r="A37">
        <v>36</v>
      </c>
      <c r="B37" t="s">
        <v>67</v>
      </c>
      <c r="C37" t="s">
        <v>20</v>
      </c>
      <c r="D37">
        <v>0.73503269999999998</v>
      </c>
      <c r="E37">
        <v>0.2635651</v>
      </c>
      <c r="F37">
        <v>-0.68615340000000002</v>
      </c>
      <c r="G37">
        <v>2.679872</v>
      </c>
      <c r="H37">
        <v>-22.378440000000001</v>
      </c>
      <c r="I37">
        <v>0</v>
      </c>
      <c r="J37">
        <v>0</v>
      </c>
      <c r="K37">
        <v>0</v>
      </c>
      <c r="L37">
        <v>0.55529790000000001</v>
      </c>
      <c r="M37">
        <v>0.25384119999999999</v>
      </c>
      <c r="N37">
        <v>0</v>
      </c>
      <c r="O37">
        <v>0</v>
      </c>
      <c r="P37" t="s">
        <v>18</v>
      </c>
    </row>
    <row r="38" spans="1:16" x14ac:dyDescent="0.3">
      <c r="A38">
        <v>36</v>
      </c>
      <c r="B38" t="s">
        <v>68</v>
      </c>
      <c r="C38" t="s">
        <v>22</v>
      </c>
      <c r="D38">
        <v>2.41866</v>
      </c>
      <c r="E38">
        <v>1.241196</v>
      </c>
      <c r="F38">
        <v>-2.0758969999999999</v>
      </c>
      <c r="G38">
        <v>0.68176979999999998</v>
      </c>
      <c r="H38">
        <v>-26.19218</v>
      </c>
      <c r="I38">
        <v>0</v>
      </c>
      <c r="J38">
        <v>0</v>
      </c>
      <c r="K38">
        <v>0.1786288</v>
      </c>
      <c r="L38">
        <v>1.2255860000000001</v>
      </c>
      <c r="M38">
        <v>1.3525119999999999</v>
      </c>
      <c r="N38">
        <v>0</v>
      </c>
      <c r="O38">
        <v>0</v>
      </c>
      <c r="P38" t="s">
        <v>18</v>
      </c>
    </row>
    <row r="39" spans="1:16" x14ac:dyDescent="0.3">
      <c r="A39">
        <v>36</v>
      </c>
      <c r="B39" t="s">
        <v>69</v>
      </c>
      <c r="C39" t="s">
        <v>24</v>
      </c>
      <c r="D39">
        <v>1.628752</v>
      </c>
      <c r="E39">
        <v>1.3592150000000001</v>
      </c>
      <c r="F39">
        <v>0.89742279999999996</v>
      </c>
      <c r="G39">
        <v>1.2869120000000001</v>
      </c>
      <c r="H39">
        <v>-23.806139999999999</v>
      </c>
      <c r="I39">
        <v>0</v>
      </c>
      <c r="J39">
        <v>0</v>
      </c>
      <c r="K39">
        <v>0</v>
      </c>
      <c r="L39">
        <v>0.53601069999999995</v>
      </c>
      <c r="M39">
        <v>0.23670099999999999</v>
      </c>
      <c r="N39">
        <v>0</v>
      </c>
      <c r="O39">
        <v>0</v>
      </c>
      <c r="P39" t="s">
        <v>18</v>
      </c>
    </row>
    <row r="40" spans="1:16" x14ac:dyDescent="0.3">
      <c r="A40">
        <v>36</v>
      </c>
      <c r="B40" t="s">
        <v>70</v>
      </c>
      <c r="C40" t="s">
        <v>26</v>
      </c>
      <c r="D40">
        <v>1.3058890000000001</v>
      </c>
      <c r="E40">
        <v>-0.61578370000000004</v>
      </c>
      <c r="F40">
        <v>-1.1515880000000001</v>
      </c>
      <c r="G40">
        <v>1.459503</v>
      </c>
      <c r="H40">
        <v>-26.423469999999998</v>
      </c>
      <c r="I40">
        <v>0</v>
      </c>
      <c r="J40">
        <v>0</v>
      </c>
      <c r="K40">
        <v>0.74499389999999999</v>
      </c>
      <c r="L40">
        <v>0.55175779999999996</v>
      </c>
      <c r="M40">
        <v>0.2451245</v>
      </c>
      <c r="N40">
        <v>0</v>
      </c>
      <c r="O40">
        <v>0</v>
      </c>
      <c r="P40" t="s">
        <v>18</v>
      </c>
    </row>
    <row r="41" spans="1:16" x14ac:dyDescent="0.3">
      <c r="A41">
        <v>36</v>
      </c>
      <c r="B41" t="s">
        <v>71</v>
      </c>
      <c r="C41" t="s">
        <v>28</v>
      </c>
      <c r="D41">
        <v>3.8833730000000002</v>
      </c>
      <c r="E41">
        <v>-0.89015200000000005</v>
      </c>
      <c r="F41">
        <v>-3.779976</v>
      </c>
      <c r="G41">
        <v>0</v>
      </c>
      <c r="H41">
        <v>-26.423469999999998</v>
      </c>
      <c r="I41">
        <v>0</v>
      </c>
      <c r="J41">
        <v>0</v>
      </c>
      <c r="K41">
        <v>0.66870680000000005</v>
      </c>
      <c r="L41">
        <v>0</v>
      </c>
      <c r="M41">
        <v>0</v>
      </c>
      <c r="N41">
        <v>1</v>
      </c>
      <c r="O41">
        <v>1</v>
      </c>
      <c r="P41" t="s">
        <v>35</v>
      </c>
    </row>
    <row r="42" spans="1:16" x14ac:dyDescent="0.3">
      <c r="A42">
        <v>37</v>
      </c>
      <c r="B42" t="s">
        <v>72</v>
      </c>
      <c r="C42" t="s">
        <v>17</v>
      </c>
      <c r="D42">
        <v>1.7244250000000001</v>
      </c>
      <c r="E42">
        <v>-1.0243679999999999</v>
      </c>
      <c r="F42">
        <v>-1.3871960000000001</v>
      </c>
      <c r="G42">
        <v>1.185484</v>
      </c>
      <c r="H42">
        <v>-16.500640000000001</v>
      </c>
      <c r="I42">
        <v>0</v>
      </c>
      <c r="J42">
        <v>0</v>
      </c>
      <c r="K42">
        <v>0.91052339999999998</v>
      </c>
      <c r="L42">
        <v>0.53332520000000005</v>
      </c>
      <c r="M42">
        <v>0.33393420000000001</v>
      </c>
      <c r="N42">
        <v>0</v>
      </c>
      <c r="O42">
        <v>0</v>
      </c>
      <c r="P42" t="s">
        <v>18</v>
      </c>
    </row>
    <row r="43" spans="1:16" x14ac:dyDescent="0.3">
      <c r="A43">
        <v>37</v>
      </c>
      <c r="B43" t="s">
        <v>73</v>
      </c>
      <c r="C43" t="s">
        <v>20</v>
      </c>
      <c r="D43">
        <v>1.7731840000000001</v>
      </c>
      <c r="E43">
        <v>0.97776790000000002</v>
      </c>
      <c r="F43">
        <v>1.4792400000000001</v>
      </c>
      <c r="G43">
        <v>1.635589</v>
      </c>
      <c r="H43">
        <v>-15.20833</v>
      </c>
      <c r="I43">
        <v>0</v>
      </c>
      <c r="J43">
        <v>0</v>
      </c>
      <c r="K43">
        <v>1.464216</v>
      </c>
      <c r="L43">
        <v>1.261841</v>
      </c>
      <c r="M43">
        <v>2.186661</v>
      </c>
      <c r="N43">
        <v>0</v>
      </c>
      <c r="O43">
        <v>0</v>
      </c>
      <c r="P43" t="s">
        <v>18</v>
      </c>
    </row>
    <row r="44" spans="1:16" x14ac:dyDescent="0.3">
      <c r="A44">
        <v>37</v>
      </c>
      <c r="B44" t="s">
        <v>74</v>
      </c>
      <c r="C44" t="s">
        <v>22</v>
      </c>
      <c r="D44">
        <v>1.040743</v>
      </c>
      <c r="E44">
        <v>0.3018188</v>
      </c>
      <c r="F44">
        <v>0.9960175</v>
      </c>
      <c r="G44">
        <v>1.9754700000000001</v>
      </c>
      <c r="H44">
        <v>-20.66413</v>
      </c>
      <c r="I44">
        <v>0</v>
      </c>
      <c r="J44">
        <v>0</v>
      </c>
      <c r="K44">
        <v>1.664312</v>
      </c>
      <c r="L44">
        <v>0.52282709999999999</v>
      </c>
      <c r="M44">
        <v>0.26274419999999998</v>
      </c>
      <c r="N44">
        <v>0</v>
      </c>
      <c r="O44">
        <v>0</v>
      </c>
      <c r="P44" t="s">
        <v>18</v>
      </c>
    </row>
    <row r="45" spans="1:16" x14ac:dyDescent="0.3">
      <c r="A45">
        <v>37</v>
      </c>
      <c r="B45" t="s">
        <v>75</v>
      </c>
      <c r="C45" t="s">
        <v>24</v>
      </c>
      <c r="D45">
        <v>4.0863480000000001</v>
      </c>
      <c r="E45">
        <v>3.4959410000000002</v>
      </c>
      <c r="F45">
        <v>2.1158070000000002</v>
      </c>
      <c r="G45">
        <v>0</v>
      </c>
      <c r="H45">
        <v>-20.66413</v>
      </c>
      <c r="I45">
        <v>0</v>
      </c>
      <c r="J45">
        <v>1</v>
      </c>
      <c r="K45">
        <v>4.8931269999999998</v>
      </c>
      <c r="L45">
        <v>0</v>
      </c>
      <c r="M45">
        <v>0</v>
      </c>
      <c r="N45">
        <v>1</v>
      </c>
      <c r="O45">
        <v>1</v>
      </c>
      <c r="P45" t="s">
        <v>51</v>
      </c>
    </row>
    <row r="46" spans="1:16" x14ac:dyDescent="0.3">
      <c r="A46">
        <v>38</v>
      </c>
      <c r="B46" t="s">
        <v>76</v>
      </c>
      <c r="C46" t="s">
        <v>17</v>
      </c>
      <c r="D46">
        <v>2.2406489999999999</v>
      </c>
      <c r="E46">
        <v>-1.300003</v>
      </c>
      <c r="F46">
        <v>1.8249660000000001</v>
      </c>
      <c r="G46">
        <v>0.62696739999999995</v>
      </c>
      <c r="H46">
        <v>-17.956060000000001</v>
      </c>
      <c r="I46">
        <v>0</v>
      </c>
      <c r="J46">
        <v>0</v>
      </c>
      <c r="K46">
        <v>0.14340449999999999</v>
      </c>
      <c r="L46">
        <v>0.55236819999999998</v>
      </c>
      <c r="M46">
        <v>0.29260829999999999</v>
      </c>
      <c r="N46">
        <v>0</v>
      </c>
      <c r="O46">
        <v>0</v>
      </c>
      <c r="P46" t="s">
        <v>18</v>
      </c>
    </row>
    <row r="47" spans="1:16" x14ac:dyDescent="0.3">
      <c r="A47">
        <v>38</v>
      </c>
      <c r="B47" t="s">
        <v>77</v>
      </c>
      <c r="C47" t="s">
        <v>20</v>
      </c>
      <c r="D47">
        <v>1.268823</v>
      </c>
      <c r="E47">
        <v>-9.8037719999999995E-2</v>
      </c>
      <c r="F47">
        <v>-1.2650300000000001</v>
      </c>
      <c r="G47">
        <v>2.2229390000000002</v>
      </c>
      <c r="H47">
        <v>-19.423469999999998</v>
      </c>
      <c r="I47">
        <v>0</v>
      </c>
      <c r="J47">
        <v>0</v>
      </c>
      <c r="K47">
        <v>0.53226410000000002</v>
      </c>
      <c r="L47">
        <v>0.5270996</v>
      </c>
      <c r="M47">
        <v>0.2787097</v>
      </c>
      <c r="N47">
        <v>0</v>
      </c>
      <c r="O47">
        <v>0</v>
      </c>
      <c r="P47" t="s">
        <v>18</v>
      </c>
    </row>
    <row r="48" spans="1:16" x14ac:dyDescent="0.3">
      <c r="A48">
        <v>38</v>
      </c>
      <c r="B48" t="s">
        <v>78</v>
      </c>
      <c r="C48" t="s">
        <v>22</v>
      </c>
      <c r="D48">
        <v>1.1132850000000001</v>
      </c>
      <c r="E48">
        <v>0.75847629999999999</v>
      </c>
      <c r="F48">
        <v>0.81493380000000004</v>
      </c>
      <c r="G48">
        <v>1.978523</v>
      </c>
      <c r="H48">
        <v>-22.345790000000001</v>
      </c>
      <c r="I48">
        <v>0</v>
      </c>
      <c r="J48">
        <v>0</v>
      </c>
      <c r="K48">
        <v>1.3968910000000001</v>
      </c>
      <c r="L48">
        <v>0.55590819999999996</v>
      </c>
      <c r="M48">
        <v>0.29070790000000002</v>
      </c>
      <c r="N48">
        <v>0</v>
      </c>
      <c r="O48">
        <v>0</v>
      </c>
      <c r="P48" t="s">
        <v>18</v>
      </c>
    </row>
    <row r="49" spans="1:16" x14ac:dyDescent="0.3">
      <c r="A49">
        <v>38</v>
      </c>
      <c r="B49" t="s">
        <v>79</v>
      </c>
      <c r="C49" t="s">
        <v>24</v>
      </c>
      <c r="D49">
        <v>3.7692999999999999</v>
      </c>
      <c r="E49">
        <v>3.3078379999999998</v>
      </c>
      <c r="F49">
        <v>-1.807159</v>
      </c>
      <c r="G49">
        <v>0</v>
      </c>
      <c r="H49">
        <v>-20.37003</v>
      </c>
      <c r="I49">
        <v>0</v>
      </c>
      <c r="J49">
        <v>1</v>
      </c>
      <c r="K49">
        <v>7.1347180000000003</v>
      </c>
      <c r="L49">
        <v>2.0083009999999999</v>
      </c>
      <c r="M49">
        <v>3.523638</v>
      </c>
      <c r="N49">
        <v>1</v>
      </c>
      <c r="O49">
        <v>0</v>
      </c>
      <c r="P49" t="s">
        <v>31</v>
      </c>
    </row>
    <row r="50" spans="1:16" x14ac:dyDescent="0.3">
      <c r="A50">
        <v>38</v>
      </c>
      <c r="B50" t="s">
        <v>80</v>
      </c>
      <c r="C50" t="s">
        <v>26</v>
      </c>
      <c r="D50">
        <v>1.6678759999999999</v>
      </c>
      <c r="E50">
        <v>1.6580809999999999</v>
      </c>
      <c r="F50">
        <v>-0.1804886</v>
      </c>
      <c r="G50">
        <v>1.1774439999999999</v>
      </c>
      <c r="H50">
        <v>-22.249790000000001</v>
      </c>
      <c r="I50">
        <v>0</v>
      </c>
      <c r="J50">
        <v>0</v>
      </c>
      <c r="K50">
        <v>0.48830129999999999</v>
      </c>
      <c r="L50">
        <v>0.53466800000000003</v>
      </c>
      <c r="M50">
        <v>0.23504559999999999</v>
      </c>
      <c r="N50">
        <v>0</v>
      </c>
      <c r="O50">
        <v>0</v>
      </c>
      <c r="P50" t="s">
        <v>18</v>
      </c>
    </row>
    <row r="51" spans="1:16" x14ac:dyDescent="0.3">
      <c r="A51">
        <v>38</v>
      </c>
      <c r="B51" t="s">
        <v>81</v>
      </c>
      <c r="C51" t="s">
        <v>28</v>
      </c>
      <c r="D51">
        <v>2.3268840000000002</v>
      </c>
      <c r="E51">
        <v>-6.9564819999999999E-2</v>
      </c>
      <c r="F51">
        <v>-2.325844</v>
      </c>
      <c r="G51">
        <v>0.362958</v>
      </c>
      <c r="H51">
        <v>-25.422090000000001</v>
      </c>
      <c r="I51">
        <v>0</v>
      </c>
      <c r="J51">
        <v>0</v>
      </c>
      <c r="K51">
        <v>1.166253</v>
      </c>
      <c r="L51">
        <v>0.54296880000000003</v>
      </c>
      <c r="M51">
        <v>0.2243298</v>
      </c>
      <c r="N51">
        <v>0</v>
      </c>
      <c r="O51">
        <v>0</v>
      </c>
      <c r="P51" t="s">
        <v>18</v>
      </c>
    </row>
    <row r="52" spans="1:16" x14ac:dyDescent="0.3">
      <c r="A52">
        <v>38</v>
      </c>
      <c r="B52" t="s">
        <v>82</v>
      </c>
      <c r="C52" t="s">
        <v>30</v>
      </c>
      <c r="D52">
        <v>0.77490559999999997</v>
      </c>
      <c r="E52">
        <v>0.66016010000000003</v>
      </c>
      <c r="F52">
        <v>-0.40579219999999999</v>
      </c>
      <c r="G52">
        <v>2.180634</v>
      </c>
      <c r="H52">
        <v>-24.9268</v>
      </c>
      <c r="I52">
        <v>0</v>
      </c>
      <c r="J52">
        <v>0</v>
      </c>
      <c r="K52">
        <v>0</v>
      </c>
      <c r="L52">
        <v>0.55993649999999995</v>
      </c>
      <c r="M52">
        <v>0.2808118</v>
      </c>
      <c r="N52">
        <v>0</v>
      </c>
      <c r="O52">
        <v>0</v>
      </c>
      <c r="P52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</v>
      </c>
      <c r="B2" t="s">
        <v>16</v>
      </c>
      <c r="C2" t="s">
        <v>17</v>
      </c>
      <c r="D2">
        <v>2.199878</v>
      </c>
      <c r="E2">
        <v>0.8191986</v>
      </c>
      <c r="F2">
        <v>-2.0416599999999998</v>
      </c>
      <c r="G2">
        <v>0.88922619999999997</v>
      </c>
      <c r="H2">
        <v>-13.888870000000001</v>
      </c>
      <c r="I2">
        <v>0</v>
      </c>
      <c r="J2">
        <v>0</v>
      </c>
      <c r="K2">
        <v>0.44541809999999998</v>
      </c>
      <c r="L2">
        <v>0.69009399999999999</v>
      </c>
      <c r="M2">
        <v>1.3082290000000001</v>
      </c>
      <c r="N2">
        <v>0</v>
      </c>
      <c r="O2">
        <v>0</v>
      </c>
      <c r="P2" t="s">
        <v>18</v>
      </c>
    </row>
    <row r="3" spans="1:16" x14ac:dyDescent="0.3">
      <c r="A3">
        <v>8</v>
      </c>
      <c r="B3" t="s">
        <v>19</v>
      </c>
      <c r="C3" t="s">
        <v>20</v>
      </c>
      <c r="D3">
        <v>5.3592370000000003</v>
      </c>
      <c r="E3">
        <v>-3.302826</v>
      </c>
      <c r="F3">
        <v>-4.2205159999999999</v>
      </c>
      <c r="G3">
        <v>0</v>
      </c>
      <c r="H3">
        <v>-13.888870000000001</v>
      </c>
      <c r="I3">
        <v>0</v>
      </c>
      <c r="J3">
        <v>1</v>
      </c>
      <c r="K3">
        <v>3.7950170000000001</v>
      </c>
      <c r="L3">
        <v>0</v>
      </c>
      <c r="M3">
        <v>0</v>
      </c>
      <c r="N3">
        <v>1</v>
      </c>
      <c r="O3">
        <v>1</v>
      </c>
      <c r="P3" t="s">
        <v>35</v>
      </c>
    </row>
    <row r="4" spans="1:16" x14ac:dyDescent="0.3">
      <c r="A4">
        <v>9</v>
      </c>
      <c r="B4" t="s">
        <v>21</v>
      </c>
      <c r="C4" t="s">
        <v>17</v>
      </c>
      <c r="D4">
        <v>2.2539769999999999</v>
      </c>
      <c r="E4">
        <v>-0.90097050000000001</v>
      </c>
      <c r="F4">
        <v>-2.066074</v>
      </c>
      <c r="G4">
        <v>0.69477009999999995</v>
      </c>
      <c r="H4">
        <v>-14.961460000000001</v>
      </c>
      <c r="I4">
        <v>0</v>
      </c>
      <c r="J4">
        <v>0</v>
      </c>
      <c r="K4">
        <v>0.76231550000000003</v>
      </c>
      <c r="L4">
        <v>0.90292360000000005</v>
      </c>
      <c r="M4">
        <v>2.0831010000000001</v>
      </c>
      <c r="N4">
        <v>0</v>
      </c>
      <c r="O4">
        <v>0</v>
      </c>
      <c r="P4" t="s">
        <v>18</v>
      </c>
    </row>
    <row r="5" spans="1:16" x14ac:dyDescent="0.3">
      <c r="A5">
        <v>9</v>
      </c>
      <c r="B5" t="s">
        <v>23</v>
      </c>
      <c r="C5" t="s">
        <v>20</v>
      </c>
      <c r="D5">
        <v>3.1697989999999998</v>
      </c>
      <c r="E5">
        <v>-3.0646209999999998</v>
      </c>
      <c r="F5">
        <v>-0.80976870000000001</v>
      </c>
      <c r="G5">
        <v>0.49153449999999999</v>
      </c>
      <c r="H5">
        <v>-18.970330000000001</v>
      </c>
      <c r="I5">
        <v>0</v>
      </c>
      <c r="J5">
        <v>0</v>
      </c>
      <c r="K5">
        <v>0.2715997</v>
      </c>
      <c r="L5">
        <v>1.536041</v>
      </c>
      <c r="M5">
        <v>5.1335499999999996</v>
      </c>
      <c r="N5">
        <v>0</v>
      </c>
      <c r="O5">
        <v>0</v>
      </c>
      <c r="P5" t="s">
        <v>18</v>
      </c>
    </row>
    <row r="6" spans="1:16" x14ac:dyDescent="0.3">
      <c r="A6">
        <v>9</v>
      </c>
      <c r="B6" t="s">
        <v>25</v>
      </c>
      <c r="C6" t="s">
        <v>22</v>
      </c>
      <c r="D6">
        <v>0.61692170000000002</v>
      </c>
      <c r="E6">
        <v>0.61692049999999998</v>
      </c>
      <c r="F6">
        <v>1.2512210000000001E-3</v>
      </c>
      <c r="G6">
        <v>2.5525730000000002</v>
      </c>
      <c r="H6">
        <v>-18.160530000000001</v>
      </c>
      <c r="I6">
        <v>0</v>
      </c>
      <c r="J6">
        <v>0</v>
      </c>
      <c r="K6">
        <v>7.7182600000000004E-2</v>
      </c>
      <c r="L6">
        <v>0.54733279999999995</v>
      </c>
      <c r="M6">
        <v>0.38173550000000001</v>
      </c>
      <c r="N6">
        <v>0</v>
      </c>
      <c r="O6">
        <v>0</v>
      </c>
      <c r="P6" t="s">
        <v>18</v>
      </c>
    </row>
    <row r="7" spans="1:16" x14ac:dyDescent="0.3">
      <c r="A7">
        <v>9</v>
      </c>
      <c r="B7" t="s">
        <v>27</v>
      </c>
      <c r="C7" t="s">
        <v>24</v>
      </c>
      <c r="D7">
        <v>2.0334660000000002</v>
      </c>
      <c r="E7">
        <v>-1.7647090000000001</v>
      </c>
      <c r="F7">
        <v>-1.010338</v>
      </c>
      <c r="G7">
        <v>1.052683</v>
      </c>
      <c r="H7">
        <v>-22.140280000000001</v>
      </c>
      <c r="I7">
        <v>0</v>
      </c>
      <c r="J7">
        <v>0</v>
      </c>
      <c r="K7">
        <v>0</v>
      </c>
      <c r="L7">
        <v>0.91192629999999997</v>
      </c>
      <c r="M7">
        <v>1.897715</v>
      </c>
      <c r="N7">
        <v>0</v>
      </c>
      <c r="O7">
        <v>0</v>
      </c>
      <c r="P7" t="s">
        <v>18</v>
      </c>
    </row>
    <row r="8" spans="1:16" x14ac:dyDescent="0.3">
      <c r="A8">
        <v>9</v>
      </c>
      <c r="B8" t="s">
        <v>29</v>
      </c>
      <c r="C8" t="s">
        <v>26</v>
      </c>
      <c r="D8">
        <v>1.3316410000000001</v>
      </c>
      <c r="E8">
        <v>-1.2876209999999999</v>
      </c>
      <c r="F8">
        <v>-0.33956150000000002</v>
      </c>
      <c r="G8">
        <v>1.651119</v>
      </c>
      <c r="H8">
        <v>-21.777529999999999</v>
      </c>
      <c r="I8">
        <v>0</v>
      </c>
      <c r="J8">
        <v>0</v>
      </c>
      <c r="K8">
        <v>0.23011019999999999</v>
      </c>
      <c r="L8">
        <v>0.52362059999999999</v>
      </c>
      <c r="M8">
        <v>0.21444569999999999</v>
      </c>
      <c r="N8">
        <v>0</v>
      </c>
      <c r="O8">
        <v>0</v>
      </c>
      <c r="P8" t="s">
        <v>18</v>
      </c>
    </row>
    <row r="9" spans="1:16" x14ac:dyDescent="0.3">
      <c r="A9">
        <v>9</v>
      </c>
      <c r="B9" t="s">
        <v>32</v>
      </c>
      <c r="C9" t="s">
        <v>28</v>
      </c>
      <c r="D9">
        <v>1.6928160000000001</v>
      </c>
      <c r="E9">
        <v>-1.5632170000000001</v>
      </c>
      <c r="F9">
        <v>0.64959719999999999</v>
      </c>
      <c r="G9">
        <v>1.3905449999999999</v>
      </c>
      <c r="H9">
        <v>-25.026309999999999</v>
      </c>
      <c r="I9">
        <v>0</v>
      </c>
      <c r="J9">
        <v>0</v>
      </c>
      <c r="K9">
        <v>0.44139539999999999</v>
      </c>
      <c r="L9">
        <v>1.380188</v>
      </c>
      <c r="M9">
        <v>2.8916230000000001</v>
      </c>
      <c r="N9">
        <v>0</v>
      </c>
      <c r="O9">
        <v>0</v>
      </c>
      <c r="P9" t="s">
        <v>18</v>
      </c>
    </row>
    <row r="10" spans="1:16" x14ac:dyDescent="0.3">
      <c r="A10">
        <v>9</v>
      </c>
      <c r="B10" t="s">
        <v>38</v>
      </c>
      <c r="C10" t="s">
        <v>30</v>
      </c>
      <c r="D10">
        <v>1.7915810000000001</v>
      </c>
      <c r="E10">
        <v>-1.6869780000000001</v>
      </c>
      <c r="F10">
        <v>-0.60321429999999998</v>
      </c>
      <c r="G10">
        <v>1.3351569999999999</v>
      </c>
      <c r="H10">
        <v>-7.688847</v>
      </c>
      <c r="I10">
        <v>0</v>
      </c>
      <c r="J10">
        <v>0</v>
      </c>
      <c r="K10">
        <v>2.3195670000000002E-2</v>
      </c>
      <c r="L10">
        <v>1.05365</v>
      </c>
      <c r="M10">
        <v>2.2854930000000002</v>
      </c>
      <c r="N10">
        <v>0</v>
      </c>
      <c r="O10">
        <v>0</v>
      </c>
      <c r="P10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</v>
      </c>
      <c r="B2" t="s">
        <v>16</v>
      </c>
      <c r="C2" t="s">
        <v>17</v>
      </c>
      <c r="D2">
        <v>1.8548070000000001</v>
      </c>
      <c r="E2">
        <v>-1.8117829999999999</v>
      </c>
      <c r="F2">
        <v>-0.39718249999999999</v>
      </c>
      <c r="G2">
        <v>0.97466209999999998</v>
      </c>
      <c r="H2">
        <v>-11.024100000000001</v>
      </c>
      <c r="I2">
        <v>0</v>
      </c>
      <c r="J2">
        <v>0</v>
      </c>
      <c r="K2">
        <v>0.54517179999999998</v>
      </c>
      <c r="L2">
        <v>1.1208800000000001</v>
      </c>
      <c r="M2">
        <v>2.1027130000000001</v>
      </c>
      <c r="N2">
        <v>0</v>
      </c>
      <c r="O2">
        <v>0</v>
      </c>
      <c r="P2" t="s">
        <v>18</v>
      </c>
    </row>
    <row r="3" spans="1:16" x14ac:dyDescent="0.3">
      <c r="A3">
        <v>10</v>
      </c>
      <c r="B3" t="s">
        <v>19</v>
      </c>
      <c r="C3" t="s">
        <v>20</v>
      </c>
      <c r="D3">
        <v>2.2659029999999998</v>
      </c>
      <c r="E3">
        <v>0.96067809999999998</v>
      </c>
      <c r="F3">
        <v>-2.0521739999999999</v>
      </c>
      <c r="G3">
        <v>1.148193</v>
      </c>
      <c r="H3">
        <v>-15.21336</v>
      </c>
      <c r="I3">
        <v>0</v>
      </c>
      <c r="J3">
        <v>0</v>
      </c>
      <c r="K3">
        <v>0</v>
      </c>
      <c r="L3">
        <v>0.50128170000000005</v>
      </c>
      <c r="M3">
        <v>0.1713594</v>
      </c>
      <c r="N3">
        <v>0</v>
      </c>
      <c r="O3">
        <v>0</v>
      </c>
      <c r="P3" t="s">
        <v>18</v>
      </c>
    </row>
    <row r="4" spans="1:16" x14ac:dyDescent="0.3">
      <c r="A4">
        <v>10</v>
      </c>
      <c r="B4" t="s">
        <v>21</v>
      </c>
      <c r="C4" t="s">
        <v>22</v>
      </c>
      <c r="D4">
        <v>1.981501</v>
      </c>
      <c r="E4">
        <v>1.8368230000000001</v>
      </c>
      <c r="F4">
        <v>0.74325560000000002</v>
      </c>
      <c r="G4">
        <v>1.166736</v>
      </c>
      <c r="H4">
        <v>3.9996339999999999</v>
      </c>
      <c r="I4">
        <v>0</v>
      </c>
      <c r="J4">
        <v>1</v>
      </c>
      <c r="K4">
        <v>3.2233100000000001</v>
      </c>
      <c r="L4">
        <v>1.1761779999999999</v>
      </c>
      <c r="M4">
        <v>1.9298519999999999</v>
      </c>
      <c r="N4">
        <v>0</v>
      </c>
      <c r="O4">
        <v>0</v>
      </c>
      <c r="P4" t="s">
        <v>18</v>
      </c>
    </row>
    <row r="5" spans="1:16" x14ac:dyDescent="0.3">
      <c r="A5">
        <v>10</v>
      </c>
      <c r="B5" t="s">
        <v>23</v>
      </c>
      <c r="C5" t="s">
        <v>24</v>
      </c>
      <c r="D5">
        <v>2.3063500000000001</v>
      </c>
      <c r="E5">
        <v>2.3016429999999999</v>
      </c>
      <c r="F5">
        <v>-0.14726259999999999</v>
      </c>
      <c r="G5">
        <v>0.59384749999999997</v>
      </c>
      <c r="H5">
        <v>-6.5587499999999999</v>
      </c>
      <c r="I5">
        <v>0</v>
      </c>
      <c r="J5">
        <v>0</v>
      </c>
      <c r="K5">
        <v>0.16002959999999999</v>
      </c>
      <c r="L5">
        <v>0.51678469999999999</v>
      </c>
      <c r="M5">
        <v>0.14368449999999999</v>
      </c>
      <c r="N5">
        <v>0</v>
      </c>
      <c r="O5">
        <v>0</v>
      </c>
      <c r="P5" t="s">
        <v>18</v>
      </c>
    </row>
    <row r="6" spans="1:16" x14ac:dyDescent="0.3">
      <c r="A6">
        <v>10</v>
      </c>
      <c r="B6" t="s">
        <v>25</v>
      </c>
      <c r="C6" t="s">
        <v>26</v>
      </c>
      <c r="D6">
        <v>1.248502</v>
      </c>
      <c r="E6">
        <v>-1.1682429999999999</v>
      </c>
      <c r="F6">
        <v>0.44041439999999998</v>
      </c>
      <c r="G6">
        <v>1.922566</v>
      </c>
      <c r="H6">
        <v>-9.586665</v>
      </c>
      <c r="I6">
        <v>0</v>
      </c>
      <c r="J6">
        <v>0</v>
      </c>
      <c r="K6">
        <v>0</v>
      </c>
      <c r="L6">
        <v>0.50714110000000001</v>
      </c>
      <c r="M6">
        <v>0.1340654</v>
      </c>
      <c r="N6">
        <v>0</v>
      </c>
      <c r="O6">
        <v>0</v>
      </c>
      <c r="P6" t="s">
        <v>18</v>
      </c>
    </row>
    <row r="7" spans="1:16" x14ac:dyDescent="0.3">
      <c r="A7">
        <v>10</v>
      </c>
      <c r="B7" t="s">
        <v>27</v>
      </c>
      <c r="C7" t="s">
        <v>28</v>
      </c>
      <c r="D7">
        <v>1.3141620000000001</v>
      </c>
      <c r="E7">
        <v>1.299736</v>
      </c>
      <c r="F7">
        <v>0.1941833</v>
      </c>
      <c r="G7">
        <v>1.705077</v>
      </c>
      <c r="H7">
        <v>-12.37454</v>
      </c>
      <c r="I7">
        <v>0</v>
      </c>
      <c r="J7">
        <v>0</v>
      </c>
      <c r="K7">
        <v>0</v>
      </c>
      <c r="L7">
        <v>0.53283689999999995</v>
      </c>
      <c r="M7">
        <v>0.27020329999999998</v>
      </c>
      <c r="N7">
        <v>0</v>
      </c>
      <c r="O7">
        <v>0</v>
      </c>
      <c r="P7" t="s">
        <v>18</v>
      </c>
    </row>
    <row r="8" spans="1:16" x14ac:dyDescent="0.3">
      <c r="A8">
        <v>10</v>
      </c>
      <c r="B8" t="s">
        <v>29</v>
      </c>
      <c r="C8" t="s">
        <v>30</v>
      </c>
      <c r="D8">
        <v>1.748855</v>
      </c>
      <c r="E8">
        <v>1.1023309999999999</v>
      </c>
      <c r="F8">
        <v>-1.357704</v>
      </c>
      <c r="G8">
        <v>1.260049</v>
      </c>
      <c r="H8">
        <v>-10.6836</v>
      </c>
      <c r="I8">
        <v>0</v>
      </c>
      <c r="J8">
        <v>0</v>
      </c>
      <c r="K8">
        <v>1.189432</v>
      </c>
      <c r="L8">
        <v>0.52862549999999997</v>
      </c>
      <c r="M8">
        <v>0.22895370000000001</v>
      </c>
      <c r="N8">
        <v>0</v>
      </c>
      <c r="O8">
        <v>0</v>
      </c>
      <c r="P8" t="s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12</v>
      </c>
      <c r="B2" t="s">
        <v>16</v>
      </c>
      <c r="C2" t="s">
        <v>17</v>
      </c>
      <c r="D2">
        <v>1.927961</v>
      </c>
      <c r="E2">
        <v>-0.30003360000000001</v>
      </c>
      <c r="F2">
        <v>-1.9044719999999999</v>
      </c>
      <c r="G2">
        <v>1.0650379999999999</v>
      </c>
      <c r="H2">
        <v>-11.8367</v>
      </c>
      <c r="I2">
        <v>0</v>
      </c>
      <c r="J2">
        <v>0</v>
      </c>
      <c r="K2">
        <v>0.19237080000000001</v>
      </c>
      <c r="L2">
        <v>1.800659</v>
      </c>
      <c r="M2">
        <v>3.0433020000000002</v>
      </c>
      <c r="N2">
        <v>0</v>
      </c>
      <c r="O2">
        <v>0</v>
      </c>
      <c r="P2" t="s">
        <v>18</v>
      </c>
    </row>
    <row r="3" spans="1:16" x14ac:dyDescent="0.3">
      <c r="A3">
        <v>12</v>
      </c>
      <c r="B3" t="s">
        <v>19</v>
      </c>
      <c r="C3" t="s">
        <v>22</v>
      </c>
      <c r="D3">
        <v>0.99129520000000004</v>
      </c>
      <c r="E3">
        <v>6.3522339999999997E-2</v>
      </c>
      <c r="F3">
        <v>0.98925779999999996</v>
      </c>
      <c r="G3">
        <v>1.985144</v>
      </c>
      <c r="H3">
        <v>-15.9209</v>
      </c>
      <c r="I3">
        <v>0</v>
      </c>
      <c r="J3">
        <v>0</v>
      </c>
      <c r="K3">
        <v>0.94358739999999997</v>
      </c>
      <c r="L3">
        <v>0.49847409999999998</v>
      </c>
      <c r="M3">
        <v>0.1526372</v>
      </c>
      <c r="N3">
        <v>0</v>
      </c>
      <c r="O3">
        <v>0</v>
      </c>
      <c r="P3" t="s">
        <v>18</v>
      </c>
    </row>
    <row r="4" spans="1:16" x14ac:dyDescent="0.3">
      <c r="A4">
        <v>12</v>
      </c>
      <c r="B4" t="s">
        <v>21</v>
      </c>
      <c r="C4" t="s">
        <v>24</v>
      </c>
      <c r="D4">
        <v>3.4296310000000001</v>
      </c>
      <c r="E4">
        <v>2.8717350000000001</v>
      </c>
      <c r="F4">
        <v>1.8749690000000001</v>
      </c>
      <c r="G4">
        <v>0</v>
      </c>
      <c r="H4">
        <v>7.8720790000000003</v>
      </c>
      <c r="I4">
        <v>0</v>
      </c>
      <c r="J4">
        <v>0</v>
      </c>
      <c r="K4">
        <v>2.084822</v>
      </c>
      <c r="L4">
        <v>1.4142459999999999</v>
      </c>
      <c r="M4">
        <v>2.8664420000000002</v>
      </c>
      <c r="N4">
        <v>1</v>
      </c>
      <c r="O4">
        <v>0</v>
      </c>
      <c r="P4" t="s">
        <v>31</v>
      </c>
    </row>
    <row r="5" spans="1:16" x14ac:dyDescent="0.3">
      <c r="A5">
        <v>12</v>
      </c>
      <c r="B5" t="s">
        <v>23</v>
      </c>
      <c r="C5" t="s">
        <v>26</v>
      </c>
      <c r="D5">
        <v>0.97772950000000003</v>
      </c>
      <c r="E5">
        <v>-6.8397520000000003E-2</v>
      </c>
      <c r="F5">
        <v>0.97533420000000004</v>
      </c>
      <c r="G5">
        <v>2.323922</v>
      </c>
      <c r="H5">
        <v>-17.916609999999999</v>
      </c>
      <c r="I5">
        <v>0</v>
      </c>
      <c r="J5">
        <v>0</v>
      </c>
      <c r="K5">
        <v>0.28042650000000002</v>
      </c>
      <c r="L5">
        <v>1.157837</v>
      </c>
      <c r="M5">
        <v>1.829115</v>
      </c>
      <c r="N5">
        <v>0</v>
      </c>
      <c r="O5">
        <v>0</v>
      </c>
      <c r="P5" t="s">
        <v>18</v>
      </c>
    </row>
    <row r="6" spans="1:16" x14ac:dyDescent="0.3">
      <c r="A6">
        <v>12</v>
      </c>
      <c r="B6" t="s">
        <v>25</v>
      </c>
      <c r="C6" t="s">
        <v>28</v>
      </c>
      <c r="D6">
        <v>1.081933</v>
      </c>
      <c r="E6">
        <v>-1.0546489999999999</v>
      </c>
      <c r="F6">
        <v>0.24143980000000001</v>
      </c>
      <c r="G6">
        <v>1.9331430000000001</v>
      </c>
      <c r="H6">
        <v>-23.898479999999999</v>
      </c>
      <c r="I6">
        <v>0</v>
      </c>
      <c r="J6">
        <v>0</v>
      </c>
      <c r="K6">
        <v>1.6431100000000001</v>
      </c>
      <c r="L6">
        <v>1.109558</v>
      </c>
      <c r="M6">
        <v>1.9043030000000001</v>
      </c>
      <c r="N6">
        <v>0</v>
      </c>
      <c r="O6">
        <v>0</v>
      </c>
      <c r="P6" t="s">
        <v>18</v>
      </c>
    </row>
    <row r="7" spans="1:16" x14ac:dyDescent="0.3">
      <c r="A7">
        <v>12</v>
      </c>
      <c r="B7" t="s">
        <v>27</v>
      </c>
      <c r="C7" t="s">
        <v>30</v>
      </c>
      <c r="D7">
        <v>2.5228199999999998</v>
      </c>
      <c r="E7">
        <v>-2.0984560000000001</v>
      </c>
      <c r="F7">
        <v>1.4003939999999999</v>
      </c>
      <c r="G7">
        <v>0.50100160000000005</v>
      </c>
      <c r="H7">
        <v>-30.696400000000001</v>
      </c>
      <c r="I7">
        <v>0</v>
      </c>
      <c r="J7">
        <v>0</v>
      </c>
      <c r="K7">
        <v>1.8865460000000001</v>
      </c>
      <c r="L7">
        <v>0.8169556</v>
      </c>
      <c r="M7">
        <v>1.8079689999999999</v>
      </c>
      <c r="N7">
        <v>0</v>
      </c>
      <c r="O7">
        <v>0</v>
      </c>
      <c r="P7" t="s">
        <v>18</v>
      </c>
    </row>
    <row r="8" spans="1:16" x14ac:dyDescent="0.3">
      <c r="A8">
        <v>13</v>
      </c>
      <c r="B8" t="s">
        <v>29</v>
      </c>
      <c r="C8" t="s">
        <v>17</v>
      </c>
      <c r="D8">
        <v>2.1229650000000002</v>
      </c>
      <c r="E8">
        <v>-0.91555790000000004</v>
      </c>
      <c r="F8">
        <v>-1.915394</v>
      </c>
      <c r="G8">
        <v>0.81941629999999999</v>
      </c>
      <c r="H8">
        <v>-20.251809999999999</v>
      </c>
      <c r="I8">
        <v>0</v>
      </c>
      <c r="J8">
        <v>0</v>
      </c>
      <c r="K8">
        <v>0</v>
      </c>
      <c r="L8">
        <v>0</v>
      </c>
      <c r="M8">
        <v>2.9520590000000002</v>
      </c>
      <c r="N8">
        <v>1</v>
      </c>
      <c r="O8">
        <v>1</v>
      </c>
      <c r="P8" t="s">
        <v>34</v>
      </c>
    </row>
    <row r="9" spans="1:16" x14ac:dyDescent="0.3">
      <c r="A9">
        <v>13</v>
      </c>
      <c r="B9" t="s">
        <v>32</v>
      </c>
      <c r="C9" t="s">
        <v>22</v>
      </c>
      <c r="D9">
        <v>2.4939520000000002</v>
      </c>
      <c r="E9">
        <v>-1.7807919999999999</v>
      </c>
      <c r="F9">
        <v>-1.7460169999999999</v>
      </c>
      <c r="G9">
        <v>0.3952484</v>
      </c>
      <c r="H9">
        <v>1.2963469999999999</v>
      </c>
      <c r="I9">
        <v>0</v>
      </c>
      <c r="J9">
        <v>1</v>
      </c>
      <c r="K9">
        <v>41.782589999999999</v>
      </c>
      <c r="L9">
        <v>0</v>
      </c>
      <c r="M9">
        <v>1.3278049999999999</v>
      </c>
      <c r="N9">
        <v>1</v>
      </c>
      <c r="O9">
        <v>1</v>
      </c>
      <c r="P9" t="s">
        <v>34</v>
      </c>
    </row>
    <row r="10" spans="1:16" x14ac:dyDescent="0.3">
      <c r="A10">
        <v>14</v>
      </c>
      <c r="B10" t="s">
        <v>38</v>
      </c>
      <c r="C10" t="s">
        <v>17</v>
      </c>
      <c r="D10">
        <v>5.6742759999999999</v>
      </c>
      <c r="E10">
        <v>-3.715347</v>
      </c>
      <c r="F10">
        <v>-4.2887760000000004</v>
      </c>
      <c r="G10">
        <v>0</v>
      </c>
      <c r="H10">
        <v>1.2963469999999999</v>
      </c>
      <c r="I10">
        <v>0</v>
      </c>
      <c r="J10">
        <v>0</v>
      </c>
      <c r="K10">
        <v>4.2783629999999997</v>
      </c>
      <c r="L10">
        <v>0</v>
      </c>
      <c r="M10">
        <v>0</v>
      </c>
      <c r="N10">
        <v>1</v>
      </c>
      <c r="O10">
        <v>1</v>
      </c>
      <c r="P10" t="s">
        <v>35</v>
      </c>
    </row>
    <row r="11" spans="1:16" x14ac:dyDescent="0.3">
      <c r="A11">
        <v>15</v>
      </c>
      <c r="B11" t="s">
        <v>39</v>
      </c>
      <c r="C11" t="s">
        <v>17</v>
      </c>
      <c r="D11">
        <v>1.1565730000000001</v>
      </c>
      <c r="E11">
        <v>1.147888</v>
      </c>
      <c r="F11">
        <v>-0.14146800000000001</v>
      </c>
      <c r="G11">
        <v>2.0257070000000001</v>
      </c>
      <c r="H11">
        <v>-16.373840000000001</v>
      </c>
      <c r="I11">
        <v>0</v>
      </c>
      <c r="J11">
        <v>0</v>
      </c>
      <c r="K11">
        <v>0.67006779999999999</v>
      </c>
      <c r="L11">
        <v>0.52325440000000001</v>
      </c>
      <c r="M11">
        <v>0.2386712</v>
      </c>
      <c r="N11">
        <v>0</v>
      </c>
      <c r="O11">
        <v>0</v>
      </c>
      <c r="P11" t="s">
        <v>18</v>
      </c>
    </row>
    <row r="12" spans="1:16" x14ac:dyDescent="0.3">
      <c r="A12">
        <v>15</v>
      </c>
      <c r="B12" t="s">
        <v>40</v>
      </c>
      <c r="C12" t="s">
        <v>22</v>
      </c>
      <c r="D12">
        <v>1.7103950000000001</v>
      </c>
      <c r="E12">
        <v>1.1791</v>
      </c>
      <c r="F12">
        <v>1.2390209999999999</v>
      </c>
      <c r="G12">
        <v>1.3864909999999999</v>
      </c>
      <c r="H12">
        <v>-13.724489999999999</v>
      </c>
      <c r="I12">
        <v>0</v>
      </c>
      <c r="J12">
        <v>0</v>
      </c>
      <c r="K12">
        <v>0.18491360000000001</v>
      </c>
      <c r="L12">
        <v>0.53674319999999998</v>
      </c>
      <c r="M12">
        <v>0.25305280000000002</v>
      </c>
      <c r="N12">
        <v>0</v>
      </c>
      <c r="O12">
        <v>0</v>
      </c>
      <c r="P12" t="s">
        <v>18</v>
      </c>
    </row>
    <row r="13" spans="1:16" x14ac:dyDescent="0.3">
      <c r="A13">
        <v>15</v>
      </c>
      <c r="B13" t="s">
        <v>41</v>
      </c>
      <c r="C13" t="s">
        <v>24</v>
      </c>
      <c r="D13">
        <v>2.130776</v>
      </c>
      <c r="E13">
        <v>1.6757280000000001</v>
      </c>
      <c r="F13">
        <v>1.316109</v>
      </c>
      <c r="G13">
        <v>0.78971820000000004</v>
      </c>
      <c r="H13">
        <v>-13.244899999999999</v>
      </c>
      <c r="I13">
        <v>0</v>
      </c>
      <c r="J13">
        <v>0</v>
      </c>
      <c r="K13">
        <v>1.0169049999999999</v>
      </c>
      <c r="L13">
        <v>0.50946040000000004</v>
      </c>
      <c r="M13">
        <v>0.19227630000000001</v>
      </c>
      <c r="N13">
        <v>0</v>
      </c>
      <c r="O13">
        <v>0</v>
      </c>
      <c r="P13" t="s">
        <v>18</v>
      </c>
    </row>
    <row r="14" spans="1:16" x14ac:dyDescent="0.3">
      <c r="A14">
        <v>15</v>
      </c>
      <c r="B14" t="s">
        <v>42</v>
      </c>
      <c r="C14" t="s">
        <v>26</v>
      </c>
      <c r="D14">
        <v>0.35527249999999999</v>
      </c>
      <c r="E14">
        <v>2.9174800000000001E-2</v>
      </c>
      <c r="F14">
        <v>0.35407260000000002</v>
      </c>
      <c r="G14">
        <v>2.8599640000000002</v>
      </c>
      <c r="H14">
        <v>-12.534039999999999</v>
      </c>
      <c r="I14">
        <v>0</v>
      </c>
      <c r="J14">
        <v>0</v>
      </c>
      <c r="K14">
        <v>0.45954430000000002</v>
      </c>
      <c r="L14">
        <v>0.52966310000000005</v>
      </c>
      <c r="M14">
        <v>0.16644320000000001</v>
      </c>
      <c r="N14">
        <v>0</v>
      </c>
      <c r="O14">
        <v>0</v>
      </c>
      <c r="P14" t="s">
        <v>18</v>
      </c>
    </row>
    <row r="15" spans="1:16" x14ac:dyDescent="0.3">
      <c r="A15">
        <v>15</v>
      </c>
      <c r="B15" t="s">
        <v>44</v>
      </c>
      <c r="C15" t="s">
        <v>28</v>
      </c>
      <c r="D15">
        <v>1.0667070000000001</v>
      </c>
      <c r="E15">
        <v>0.57598879999999997</v>
      </c>
      <c r="F15">
        <v>0.89783100000000005</v>
      </c>
      <c r="G15">
        <v>2.18398</v>
      </c>
      <c r="H15">
        <v>-19.1236</v>
      </c>
      <c r="I15">
        <v>0</v>
      </c>
      <c r="J15">
        <v>0</v>
      </c>
      <c r="K15">
        <v>1.11818</v>
      </c>
      <c r="L15">
        <v>0.53796390000000005</v>
      </c>
      <c r="M15">
        <v>0.19984080000000001</v>
      </c>
      <c r="N15">
        <v>0</v>
      </c>
      <c r="O15">
        <v>0</v>
      </c>
      <c r="P15" t="s">
        <v>18</v>
      </c>
    </row>
    <row r="16" spans="1:16" x14ac:dyDescent="0.3">
      <c r="A16">
        <v>15</v>
      </c>
      <c r="B16" t="s">
        <v>45</v>
      </c>
      <c r="C16" t="s">
        <v>30</v>
      </c>
      <c r="D16">
        <v>3.135157</v>
      </c>
      <c r="E16">
        <v>2.7979539999999998</v>
      </c>
      <c r="F16">
        <v>-1.4144479999999999</v>
      </c>
      <c r="G16">
        <v>0</v>
      </c>
      <c r="H16">
        <v>-10.00653</v>
      </c>
      <c r="I16">
        <v>0</v>
      </c>
      <c r="J16">
        <v>0</v>
      </c>
      <c r="K16">
        <v>1.2720610000000001</v>
      </c>
      <c r="L16">
        <v>0.75958250000000005</v>
      </c>
      <c r="M16">
        <v>2.8772359999999999</v>
      </c>
      <c r="N16">
        <v>1</v>
      </c>
      <c r="O16">
        <v>0</v>
      </c>
      <c r="P16" t="s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7</v>
      </c>
      <c r="B2" t="s">
        <v>16</v>
      </c>
      <c r="C2" t="s">
        <v>17</v>
      </c>
      <c r="D2">
        <v>3.5905580000000001</v>
      </c>
      <c r="E2">
        <v>0.37374879999999999</v>
      </c>
      <c r="F2">
        <v>3.571053</v>
      </c>
      <c r="G2">
        <v>0</v>
      </c>
      <c r="H2">
        <v>0</v>
      </c>
      <c r="I2">
        <v>0</v>
      </c>
      <c r="J2">
        <v>1</v>
      </c>
      <c r="K2">
        <v>2.5036230000000002</v>
      </c>
      <c r="L2">
        <v>0</v>
      </c>
      <c r="M2">
        <v>0</v>
      </c>
      <c r="N2">
        <v>1</v>
      </c>
      <c r="O2">
        <v>1</v>
      </c>
      <c r="P2" t="s">
        <v>43</v>
      </c>
    </row>
    <row r="3" spans="1:16" x14ac:dyDescent="0.3">
      <c r="A3">
        <v>8</v>
      </c>
      <c r="B3" t="s">
        <v>19</v>
      </c>
      <c r="C3" t="s">
        <v>17</v>
      </c>
      <c r="D3">
        <v>0.97092140000000005</v>
      </c>
      <c r="E3">
        <v>-0.15383910000000001</v>
      </c>
      <c r="F3">
        <v>0.95865630000000002</v>
      </c>
      <c r="G3">
        <v>1.9565049999999999</v>
      </c>
      <c r="H3">
        <v>-10.22035</v>
      </c>
      <c r="I3">
        <v>0</v>
      </c>
      <c r="J3">
        <v>0</v>
      </c>
      <c r="K3">
        <v>0.33792159999999999</v>
      </c>
      <c r="L3">
        <v>0.55462650000000002</v>
      </c>
      <c r="M3">
        <v>0.39693420000000001</v>
      </c>
      <c r="N3">
        <v>0</v>
      </c>
      <c r="O3">
        <v>0</v>
      </c>
      <c r="P3" t="s">
        <v>18</v>
      </c>
    </row>
    <row r="4" spans="1:16" x14ac:dyDescent="0.3">
      <c r="A4">
        <v>8</v>
      </c>
      <c r="B4" t="s">
        <v>21</v>
      </c>
      <c r="C4" t="s">
        <v>20</v>
      </c>
      <c r="D4">
        <v>4.485468</v>
      </c>
      <c r="E4">
        <v>3.9364170000000001</v>
      </c>
      <c r="F4">
        <v>2.15036</v>
      </c>
      <c r="G4">
        <v>0</v>
      </c>
      <c r="H4">
        <v>-11.76221</v>
      </c>
      <c r="I4">
        <v>0</v>
      </c>
      <c r="J4">
        <v>1</v>
      </c>
      <c r="K4">
        <v>1.887281</v>
      </c>
      <c r="L4">
        <v>1.8582460000000001</v>
      </c>
      <c r="M4">
        <v>6.8452510000000002</v>
      </c>
      <c r="N4">
        <v>1</v>
      </c>
      <c r="O4">
        <v>0</v>
      </c>
      <c r="P4" t="s">
        <v>31</v>
      </c>
    </row>
    <row r="5" spans="1:16" x14ac:dyDescent="0.3">
      <c r="A5">
        <v>8</v>
      </c>
      <c r="B5" t="s">
        <v>23</v>
      </c>
      <c r="C5" t="s">
        <v>22</v>
      </c>
      <c r="D5">
        <v>0.43953029999999998</v>
      </c>
      <c r="E5">
        <v>-0.32930759999999998</v>
      </c>
      <c r="F5">
        <v>-0.29110720000000001</v>
      </c>
      <c r="G5">
        <v>2.4318390000000001</v>
      </c>
      <c r="H5">
        <v>-14.46246</v>
      </c>
      <c r="I5">
        <v>0</v>
      </c>
      <c r="J5">
        <v>0</v>
      </c>
      <c r="K5">
        <v>1.367246</v>
      </c>
      <c r="L5">
        <v>0.52697749999999999</v>
      </c>
      <c r="M5">
        <v>0.20841119999999999</v>
      </c>
      <c r="N5">
        <v>0</v>
      </c>
      <c r="O5">
        <v>0</v>
      </c>
      <c r="P5" t="s">
        <v>18</v>
      </c>
    </row>
    <row r="6" spans="1:16" x14ac:dyDescent="0.3">
      <c r="A6">
        <v>8</v>
      </c>
      <c r="B6" t="s">
        <v>25</v>
      </c>
      <c r="C6" t="s">
        <v>24</v>
      </c>
      <c r="D6">
        <v>3.4977589999999998</v>
      </c>
      <c r="E6">
        <v>3.1199870000000001</v>
      </c>
      <c r="F6">
        <v>-1.5811390000000001</v>
      </c>
      <c r="G6">
        <v>0</v>
      </c>
      <c r="H6">
        <v>-12.9497</v>
      </c>
      <c r="I6">
        <v>0</v>
      </c>
      <c r="J6">
        <v>0</v>
      </c>
      <c r="K6">
        <v>0.10339859999999999</v>
      </c>
      <c r="L6">
        <v>0</v>
      </c>
      <c r="M6">
        <v>7.8144879999999999</v>
      </c>
      <c r="N6">
        <v>1</v>
      </c>
      <c r="O6">
        <v>1</v>
      </c>
      <c r="P6" t="s">
        <v>51</v>
      </c>
    </row>
    <row r="7" spans="1:16" x14ac:dyDescent="0.3">
      <c r="A7">
        <v>9</v>
      </c>
      <c r="B7" t="s">
        <v>27</v>
      </c>
      <c r="C7" t="s">
        <v>17</v>
      </c>
      <c r="D7">
        <v>3.0810710000000001</v>
      </c>
      <c r="E7">
        <v>2.3484500000000001</v>
      </c>
      <c r="F7">
        <v>1.9944379999999999</v>
      </c>
      <c r="G7">
        <v>3.3427720000000001E-2</v>
      </c>
      <c r="H7">
        <v>-7.9260970000000004</v>
      </c>
      <c r="I7">
        <v>0</v>
      </c>
      <c r="J7">
        <v>0</v>
      </c>
      <c r="K7">
        <v>0.63879680000000005</v>
      </c>
      <c r="L7">
        <v>0.67550659999999996</v>
      </c>
      <c r="M7">
        <v>1.35745</v>
      </c>
      <c r="N7">
        <v>0</v>
      </c>
      <c r="O7">
        <v>0</v>
      </c>
      <c r="P7" t="s">
        <v>36</v>
      </c>
    </row>
    <row r="8" spans="1:16" x14ac:dyDescent="0.3">
      <c r="A8">
        <v>9</v>
      </c>
      <c r="B8" t="s">
        <v>29</v>
      </c>
      <c r="C8" t="s">
        <v>20</v>
      </c>
      <c r="D8">
        <v>1.5675479999999999</v>
      </c>
      <c r="E8">
        <v>1.5630489999999999</v>
      </c>
      <c r="F8">
        <v>-0.11867519999999999</v>
      </c>
      <c r="G8">
        <v>1.7621819999999999</v>
      </c>
      <c r="H8">
        <v>-8.4026519999999998</v>
      </c>
      <c r="I8">
        <v>0</v>
      </c>
      <c r="J8">
        <v>0</v>
      </c>
      <c r="K8">
        <v>0.37641029999999998</v>
      </c>
      <c r="L8">
        <v>0.56011960000000005</v>
      </c>
      <c r="M8">
        <v>0.39578049999999998</v>
      </c>
      <c r="N8">
        <v>0</v>
      </c>
      <c r="O8">
        <v>0</v>
      </c>
      <c r="P8" t="s">
        <v>18</v>
      </c>
    </row>
    <row r="9" spans="1:16" x14ac:dyDescent="0.3">
      <c r="A9">
        <v>9</v>
      </c>
      <c r="B9" t="s">
        <v>32</v>
      </c>
      <c r="C9" t="s">
        <v>22</v>
      </c>
      <c r="D9">
        <v>3.1088589999999998</v>
      </c>
      <c r="E9">
        <v>2.265015</v>
      </c>
      <c r="F9">
        <v>-2.129486</v>
      </c>
      <c r="G9">
        <v>2.6947740000000001E-2</v>
      </c>
      <c r="H9">
        <v>-8.4026519999999998</v>
      </c>
      <c r="I9">
        <v>0</v>
      </c>
      <c r="J9">
        <v>1</v>
      </c>
      <c r="K9">
        <v>1.510297</v>
      </c>
      <c r="L9">
        <v>0</v>
      </c>
      <c r="M9">
        <v>0</v>
      </c>
      <c r="N9">
        <v>1</v>
      </c>
      <c r="O9">
        <v>1</v>
      </c>
      <c r="P9" t="s">
        <v>34</v>
      </c>
    </row>
    <row r="10" spans="1:16" x14ac:dyDescent="0.3">
      <c r="A10">
        <v>10</v>
      </c>
      <c r="B10" t="s">
        <v>38</v>
      </c>
      <c r="C10" t="s">
        <v>17</v>
      </c>
      <c r="D10">
        <v>3.1738050000000002</v>
      </c>
      <c r="E10">
        <v>3.0234380000000001</v>
      </c>
      <c r="F10">
        <v>0.96533199999999997</v>
      </c>
      <c r="G10">
        <v>0</v>
      </c>
      <c r="H10">
        <v>-10.697889999999999</v>
      </c>
      <c r="I10">
        <v>0</v>
      </c>
      <c r="J10">
        <v>0</v>
      </c>
      <c r="K10">
        <v>0.8660582</v>
      </c>
      <c r="L10">
        <v>0.71896360000000004</v>
      </c>
      <c r="M10">
        <v>2.0251250000000001</v>
      </c>
      <c r="N10">
        <v>1</v>
      </c>
      <c r="O10">
        <v>0</v>
      </c>
      <c r="P10" t="s">
        <v>31</v>
      </c>
    </row>
    <row r="11" spans="1:16" x14ac:dyDescent="0.3">
      <c r="A11">
        <v>10</v>
      </c>
      <c r="B11" t="s">
        <v>39</v>
      </c>
      <c r="C11" t="s">
        <v>20</v>
      </c>
      <c r="D11">
        <v>3.3902890000000001</v>
      </c>
      <c r="E11">
        <v>3.2805939999999998</v>
      </c>
      <c r="F11">
        <v>0.85543060000000004</v>
      </c>
      <c r="G11">
        <v>0</v>
      </c>
      <c r="H11">
        <v>-12.80902</v>
      </c>
      <c r="I11">
        <v>0</v>
      </c>
      <c r="J11">
        <v>0</v>
      </c>
      <c r="K11">
        <v>0.5003843</v>
      </c>
      <c r="L11">
        <v>2.0053100000000001</v>
      </c>
      <c r="M11">
        <v>14.92558</v>
      </c>
      <c r="N11">
        <v>1</v>
      </c>
      <c r="O11">
        <v>0</v>
      </c>
      <c r="P11" t="s">
        <v>31</v>
      </c>
    </row>
    <row r="12" spans="1:16" x14ac:dyDescent="0.3">
      <c r="A12">
        <v>10</v>
      </c>
      <c r="B12" t="s">
        <v>40</v>
      </c>
      <c r="C12" t="s">
        <v>22</v>
      </c>
      <c r="D12">
        <v>4.3409579999999997</v>
      </c>
      <c r="E12">
        <v>-2.8958659999999998</v>
      </c>
      <c r="F12">
        <v>3.2338640000000001</v>
      </c>
      <c r="G12">
        <v>0</v>
      </c>
      <c r="H12">
        <v>-12.80902</v>
      </c>
      <c r="I12">
        <v>0</v>
      </c>
      <c r="J12">
        <v>1</v>
      </c>
      <c r="K12">
        <v>1.838957</v>
      </c>
      <c r="L12">
        <v>0</v>
      </c>
      <c r="M12">
        <v>0</v>
      </c>
      <c r="N12">
        <v>1</v>
      </c>
      <c r="O12">
        <v>1</v>
      </c>
      <c r="P12" t="s">
        <v>43</v>
      </c>
    </row>
    <row r="13" spans="1:16" x14ac:dyDescent="0.3">
      <c r="A13">
        <v>11</v>
      </c>
      <c r="B13" t="s">
        <v>41</v>
      </c>
      <c r="C13" t="s">
        <v>17</v>
      </c>
      <c r="D13">
        <v>8.3440329999999996</v>
      </c>
      <c r="E13">
        <v>8.3437649999999994</v>
      </c>
      <c r="F13">
        <v>6.6928860000000007E-2</v>
      </c>
      <c r="G13">
        <v>0</v>
      </c>
      <c r="H13">
        <v>-12.80902</v>
      </c>
      <c r="I13">
        <v>0</v>
      </c>
      <c r="J13">
        <v>0</v>
      </c>
      <c r="K13">
        <v>1.0238849999999999</v>
      </c>
      <c r="L13">
        <v>0</v>
      </c>
      <c r="M13">
        <v>0</v>
      </c>
      <c r="N13">
        <v>1</v>
      </c>
      <c r="O13">
        <v>1</v>
      </c>
      <c r="P13" t="s">
        <v>51</v>
      </c>
    </row>
    <row r="14" spans="1:16" x14ac:dyDescent="0.3">
      <c r="A14">
        <v>12</v>
      </c>
      <c r="B14" t="s">
        <v>42</v>
      </c>
      <c r="C14" t="s">
        <v>17</v>
      </c>
      <c r="D14">
        <v>2.6459600000000001</v>
      </c>
      <c r="E14">
        <v>0.86502080000000003</v>
      </c>
      <c r="F14">
        <v>2.5005679999999999</v>
      </c>
      <c r="G14">
        <v>0.37835289999999999</v>
      </c>
      <c r="H14">
        <v>-15.61354</v>
      </c>
      <c r="I14">
        <v>0</v>
      </c>
      <c r="J14">
        <v>0</v>
      </c>
      <c r="K14">
        <v>1.159456</v>
      </c>
      <c r="L14">
        <v>0.58984380000000003</v>
      </c>
      <c r="M14">
        <v>0.61577950000000004</v>
      </c>
      <c r="N14">
        <v>0</v>
      </c>
      <c r="O14">
        <v>0</v>
      </c>
      <c r="P14" t="s">
        <v>18</v>
      </c>
    </row>
    <row r="15" spans="1:16" x14ac:dyDescent="0.3">
      <c r="A15">
        <v>12</v>
      </c>
      <c r="B15" t="s">
        <v>44</v>
      </c>
      <c r="C15" t="s">
        <v>20</v>
      </c>
      <c r="D15">
        <v>0.75559500000000002</v>
      </c>
      <c r="E15">
        <v>-0.66529850000000001</v>
      </c>
      <c r="F15">
        <v>-0.35819240000000002</v>
      </c>
      <c r="G15">
        <v>2.8828369999999999</v>
      </c>
      <c r="H15">
        <v>-13.962300000000001</v>
      </c>
      <c r="I15">
        <v>0</v>
      </c>
      <c r="J15">
        <v>0</v>
      </c>
      <c r="K15">
        <v>0</v>
      </c>
      <c r="L15">
        <v>0.55816650000000001</v>
      </c>
      <c r="M15">
        <v>0.38497930000000002</v>
      </c>
      <c r="N15">
        <v>0</v>
      </c>
      <c r="O15">
        <v>0</v>
      </c>
      <c r="P15" t="s">
        <v>18</v>
      </c>
    </row>
    <row r="16" spans="1:16" x14ac:dyDescent="0.3">
      <c r="A16">
        <v>12</v>
      </c>
      <c r="B16" t="s">
        <v>45</v>
      </c>
      <c r="C16" t="s">
        <v>22</v>
      </c>
      <c r="D16">
        <v>6.1520210000000004</v>
      </c>
      <c r="E16">
        <v>-4.4026339999999999</v>
      </c>
      <c r="F16">
        <v>-4.2969970000000002</v>
      </c>
      <c r="G16">
        <v>0</v>
      </c>
      <c r="H16">
        <v>-13.962300000000001</v>
      </c>
      <c r="I16">
        <v>0</v>
      </c>
      <c r="J16">
        <v>0</v>
      </c>
      <c r="K16">
        <v>1.5195669999999999</v>
      </c>
      <c r="L16">
        <v>0</v>
      </c>
      <c r="M16">
        <v>0</v>
      </c>
      <c r="N16">
        <v>1</v>
      </c>
      <c r="O16">
        <v>1</v>
      </c>
      <c r="P16" t="s">
        <v>37</v>
      </c>
    </row>
    <row r="17" spans="1:16" x14ac:dyDescent="0.3">
      <c r="A17">
        <v>13</v>
      </c>
      <c r="B17" t="s">
        <v>46</v>
      </c>
      <c r="C17" t="s">
        <v>17</v>
      </c>
      <c r="D17">
        <v>3.7165010000000001</v>
      </c>
      <c r="E17">
        <v>3.7081759999999999</v>
      </c>
      <c r="F17">
        <v>0.24862290000000001</v>
      </c>
      <c r="G17">
        <v>0</v>
      </c>
      <c r="H17">
        <v>-18.426929999999999</v>
      </c>
      <c r="I17">
        <v>0</v>
      </c>
      <c r="J17">
        <v>1</v>
      </c>
      <c r="K17">
        <v>0.68355069999999996</v>
      </c>
      <c r="L17">
        <v>0</v>
      </c>
      <c r="M17">
        <v>2.088082</v>
      </c>
      <c r="N17">
        <v>1</v>
      </c>
      <c r="O17">
        <v>1</v>
      </c>
      <c r="P17" t="s">
        <v>51</v>
      </c>
    </row>
    <row r="18" spans="1:16" x14ac:dyDescent="0.3">
      <c r="A18">
        <v>14</v>
      </c>
      <c r="B18" t="s">
        <v>47</v>
      </c>
      <c r="C18" t="s">
        <v>17</v>
      </c>
      <c r="D18">
        <v>2.339242</v>
      </c>
      <c r="E18">
        <v>1.573761</v>
      </c>
      <c r="F18">
        <v>-1.730701</v>
      </c>
      <c r="G18">
        <v>0.80114129999999995</v>
      </c>
      <c r="H18">
        <v>-15.598240000000001</v>
      </c>
      <c r="I18">
        <v>0</v>
      </c>
      <c r="J18">
        <v>0</v>
      </c>
      <c r="K18">
        <v>1.4211279999999999</v>
      </c>
      <c r="L18">
        <v>0.74353029999999998</v>
      </c>
      <c r="M18">
        <v>2.4369200000000002</v>
      </c>
      <c r="N18">
        <v>0</v>
      </c>
      <c r="O18">
        <v>0</v>
      </c>
      <c r="P18" t="s">
        <v>18</v>
      </c>
    </row>
    <row r="19" spans="1:16" x14ac:dyDescent="0.3">
      <c r="A19">
        <v>14</v>
      </c>
      <c r="B19" t="s">
        <v>48</v>
      </c>
      <c r="C19" t="s">
        <v>20</v>
      </c>
      <c r="D19">
        <v>0.48636279999999998</v>
      </c>
      <c r="E19">
        <v>-3.3874510000000001E-3</v>
      </c>
      <c r="F19">
        <v>0.48635099999999998</v>
      </c>
      <c r="G19">
        <v>2.9953539999999998</v>
      </c>
      <c r="H19">
        <v>-11.081049999999999</v>
      </c>
      <c r="I19">
        <v>0</v>
      </c>
      <c r="J19">
        <v>0</v>
      </c>
      <c r="K19">
        <v>0.82064309999999996</v>
      </c>
      <c r="L19">
        <v>0.55847170000000002</v>
      </c>
      <c r="M19">
        <v>0.37401069999999997</v>
      </c>
      <c r="N19">
        <v>0</v>
      </c>
      <c r="O19">
        <v>0</v>
      </c>
      <c r="P19" t="s">
        <v>18</v>
      </c>
    </row>
    <row r="20" spans="1:16" x14ac:dyDescent="0.3">
      <c r="A20">
        <v>14</v>
      </c>
      <c r="B20" t="s">
        <v>49</v>
      </c>
      <c r="C20" t="s">
        <v>22</v>
      </c>
      <c r="D20">
        <v>2.8007230000000001</v>
      </c>
      <c r="E20">
        <v>0.23216249999999999</v>
      </c>
      <c r="F20">
        <v>2.7910840000000001</v>
      </c>
      <c r="G20">
        <v>0.1882317</v>
      </c>
      <c r="H20">
        <v>-13.79222</v>
      </c>
      <c r="I20">
        <v>0</v>
      </c>
      <c r="J20">
        <v>0</v>
      </c>
      <c r="K20">
        <v>1.1430100000000001</v>
      </c>
      <c r="L20">
        <v>0.78808590000000001</v>
      </c>
      <c r="M20">
        <v>2.79277</v>
      </c>
      <c r="N20">
        <v>0</v>
      </c>
      <c r="O20">
        <v>0</v>
      </c>
      <c r="P20" t="s">
        <v>36</v>
      </c>
    </row>
    <row r="21" spans="1:16" x14ac:dyDescent="0.3">
      <c r="A21">
        <v>14</v>
      </c>
      <c r="B21" t="s">
        <v>50</v>
      </c>
      <c r="C21" t="s">
        <v>24</v>
      </c>
      <c r="D21">
        <v>3.552454</v>
      </c>
      <c r="E21">
        <v>-2.1655959999999999</v>
      </c>
      <c r="F21">
        <v>2.8160479999999999</v>
      </c>
      <c r="G21">
        <v>0</v>
      </c>
      <c r="H21">
        <v>-5.4775700000000001</v>
      </c>
      <c r="I21">
        <v>0</v>
      </c>
      <c r="J21">
        <v>0</v>
      </c>
      <c r="K21">
        <v>0.49638130000000003</v>
      </c>
      <c r="L21">
        <v>0</v>
      </c>
      <c r="M21">
        <v>6.3538110000000003</v>
      </c>
      <c r="N21">
        <v>1</v>
      </c>
      <c r="O21">
        <v>1</v>
      </c>
      <c r="P21" t="s">
        <v>43</v>
      </c>
    </row>
    <row r="22" spans="1:16" x14ac:dyDescent="0.3">
      <c r="A22">
        <v>15</v>
      </c>
      <c r="B22" t="s">
        <v>52</v>
      </c>
      <c r="C22" t="s">
        <v>17</v>
      </c>
      <c r="D22">
        <v>0.90798199999999996</v>
      </c>
      <c r="E22">
        <v>-0.82626339999999998</v>
      </c>
      <c r="F22">
        <v>-0.37645719999999999</v>
      </c>
      <c r="G22">
        <v>1.93577</v>
      </c>
      <c r="H22">
        <v>-8.6109829999999992</v>
      </c>
      <c r="I22">
        <v>0</v>
      </c>
      <c r="J22">
        <v>0</v>
      </c>
      <c r="K22">
        <v>0.57637329999999998</v>
      </c>
      <c r="L22">
        <v>0.54876709999999995</v>
      </c>
      <c r="M22">
        <v>0.39789829999999998</v>
      </c>
      <c r="N22">
        <v>0</v>
      </c>
      <c r="O22">
        <v>0</v>
      </c>
      <c r="P22" t="s">
        <v>18</v>
      </c>
    </row>
    <row r="23" spans="1:16" x14ac:dyDescent="0.3">
      <c r="A23">
        <v>15</v>
      </c>
      <c r="B23" t="s">
        <v>53</v>
      </c>
      <c r="C23" t="s">
        <v>20</v>
      </c>
      <c r="D23">
        <v>2.021147</v>
      </c>
      <c r="E23">
        <v>2.0204770000000001</v>
      </c>
      <c r="F23">
        <v>5.2040099999999999E-2</v>
      </c>
      <c r="G23">
        <v>1.309121</v>
      </c>
      <c r="H23">
        <v>-10.192080000000001</v>
      </c>
      <c r="I23">
        <v>0</v>
      </c>
      <c r="J23">
        <v>0</v>
      </c>
      <c r="K23">
        <v>0.45973409999999998</v>
      </c>
      <c r="L23">
        <v>0.55493159999999997</v>
      </c>
      <c r="M23">
        <v>0.3728127</v>
      </c>
      <c r="N23">
        <v>0</v>
      </c>
      <c r="O23">
        <v>0</v>
      </c>
      <c r="P23" t="s">
        <v>18</v>
      </c>
    </row>
    <row r="24" spans="1:16" x14ac:dyDescent="0.3">
      <c r="A24">
        <v>15</v>
      </c>
      <c r="B24" t="s">
        <v>54</v>
      </c>
      <c r="C24" t="s">
        <v>22</v>
      </c>
      <c r="D24">
        <v>4.0382639999999999</v>
      </c>
      <c r="E24">
        <v>-3.180428</v>
      </c>
      <c r="F24">
        <v>2.488464</v>
      </c>
      <c r="G24">
        <v>0</v>
      </c>
      <c r="H24">
        <v>-10.192080000000001</v>
      </c>
      <c r="I24">
        <v>0</v>
      </c>
      <c r="J24">
        <v>0</v>
      </c>
      <c r="K24">
        <v>0.89717880000000005</v>
      </c>
      <c r="L24">
        <v>0</v>
      </c>
      <c r="M24">
        <v>0</v>
      </c>
      <c r="N24">
        <v>1</v>
      </c>
      <c r="O24">
        <v>1</v>
      </c>
      <c r="P24" t="s">
        <v>37</v>
      </c>
    </row>
    <row r="25" spans="1:16" x14ac:dyDescent="0.3">
      <c r="A25">
        <v>16</v>
      </c>
      <c r="B25" t="s">
        <v>55</v>
      </c>
      <c r="C25" t="s">
        <v>17</v>
      </c>
      <c r="D25">
        <v>24.170210000000001</v>
      </c>
      <c r="E25">
        <v>9.2102050000000005E-2</v>
      </c>
      <c r="F25">
        <v>24.170030000000001</v>
      </c>
      <c r="G25">
        <v>0</v>
      </c>
      <c r="H25">
        <v>-10.192080000000001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 t="s">
        <v>43</v>
      </c>
    </row>
    <row r="26" spans="1:16" x14ac:dyDescent="0.3">
      <c r="A26">
        <v>17</v>
      </c>
      <c r="B26" t="s">
        <v>56</v>
      </c>
      <c r="C26" t="s">
        <v>17</v>
      </c>
      <c r="D26">
        <v>1.6524650000000001</v>
      </c>
      <c r="E26">
        <v>-0.75796509999999995</v>
      </c>
      <c r="F26">
        <v>1.4683759999999999</v>
      </c>
      <c r="G26">
        <v>1.232264</v>
      </c>
      <c r="H26">
        <v>-8.8578480000000006</v>
      </c>
      <c r="I26">
        <v>0</v>
      </c>
      <c r="J26">
        <v>0</v>
      </c>
      <c r="K26">
        <v>0.38967780000000002</v>
      </c>
      <c r="L26">
        <v>0.56311040000000001</v>
      </c>
      <c r="M26">
        <v>0.39121299999999998</v>
      </c>
      <c r="N26">
        <v>0</v>
      </c>
      <c r="O26">
        <v>0</v>
      </c>
      <c r="P26" t="s">
        <v>18</v>
      </c>
    </row>
    <row r="27" spans="1:16" x14ac:dyDescent="0.3">
      <c r="A27">
        <v>17</v>
      </c>
      <c r="B27" t="s">
        <v>57</v>
      </c>
      <c r="C27" t="s">
        <v>20</v>
      </c>
      <c r="D27">
        <v>3.1337899999999999</v>
      </c>
      <c r="E27">
        <v>1.64534</v>
      </c>
      <c r="F27">
        <v>2.6671140000000002</v>
      </c>
      <c r="G27">
        <v>0.28197309999999998</v>
      </c>
      <c r="H27">
        <v>-7.9975079999999998</v>
      </c>
      <c r="I27">
        <v>0</v>
      </c>
      <c r="J27">
        <v>0</v>
      </c>
      <c r="K27">
        <v>0.70990819999999999</v>
      </c>
      <c r="L27">
        <v>1.189087</v>
      </c>
      <c r="M27">
        <v>2.4839030000000002</v>
      </c>
      <c r="N27">
        <v>0</v>
      </c>
      <c r="O27">
        <v>0</v>
      </c>
      <c r="P27" t="s">
        <v>36</v>
      </c>
    </row>
    <row r="28" spans="1:16" x14ac:dyDescent="0.3">
      <c r="A28">
        <v>17</v>
      </c>
      <c r="B28" t="s">
        <v>58</v>
      </c>
      <c r="C28" t="s">
        <v>22</v>
      </c>
      <c r="D28">
        <v>5.2869520000000003</v>
      </c>
      <c r="E28">
        <v>5.0847629999999997</v>
      </c>
      <c r="F28">
        <v>-1.4481200000000001</v>
      </c>
      <c r="G28">
        <v>0</v>
      </c>
      <c r="H28">
        <v>-7.9975079999999998</v>
      </c>
      <c r="I28">
        <v>0</v>
      </c>
      <c r="J28">
        <v>0</v>
      </c>
      <c r="K28">
        <v>0.1510928</v>
      </c>
      <c r="L28">
        <v>0</v>
      </c>
      <c r="M28">
        <v>0</v>
      </c>
      <c r="N28">
        <v>1</v>
      </c>
      <c r="O28">
        <v>1</v>
      </c>
      <c r="P28" t="s">
        <v>51</v>
      </c>
    </row>
    <row r="29" spans="1:16" x14ac:dyDescent="0.3">
      <c r="A29">
        <v>18</v>
      </c>
      <c r="B29" t="s">
        <v>59</v>
      </c>
      <c r="C29" t="s">
        <v>17</v>
      </c>
      <c r="D29">
        <v>2.215719</v>
      </c>
      <c r="E29">
        <v>-2.2026669999999999</v>
      </c>
      <c r="F29">
        <v>0.24014279999999999</v>
      </c>
      <c r="G29">
        <v>0.60207489999999997</v>
      </c>
      <c r="H29">
        <v>-4.6173789999999997</v>
      </c>
      <c r="I29">
        <v>0</v>
      </c>
      <c r="J29">
        <v>0</v>
      </c>
      <c r="K29">
        <v>0.56858900000000001</v>
      </c>
      <c r="L29">
        <v>0.95709230000000001</v>
      </c>
      <c r="M29">
        <v>4.89419</v>
      </c>
      <c r="N29">
        <v>0</v>
      </c>
      <c r="O29">
        <v>0</v>
      </c>
      <c r="P29" t="s">
        <v>18</v>
      </c>
    </row>
    <row r="30" spans="1:16" x14ac:dyDescent="0.3">
      <c r="A30">
        <v>18</v>
      </c>
      <c r="B30" t="s">
        <v>60</v>
      </c>
      <c r="C30" t="s">
        <v>20</v>
      </c>
      <c r="D30">
        <v>1.583248</v>
      </c>
      <c r="E30">
        <v>9.9594119999999994E-2</v>
      </c>
      <c r="F30">
        <v>1.580112</v>
      </c>
      <c r="G30">
        <v>1.9069130000000001</v>
      </c>
      <c r="H30">
        <v>-8.7272029999999994</v>
      </c>
      <c r="I30">
        <v>0</v>
      </c>
      <c r="J30">
        <v>0</v>
      </c>
      <c r="K30">
        <v>1.3423780000000001</v>
      </c>
      <c r="L30">
        <v>1.1127320000000001</v>
      </c>
      <c r="M30">
        <v>2.5060739999999999</v>
      </c>
      <c r="N30">
        <v>0</v>
      </c>
      <c r="O30">
        <v>0</v>
      </c>
      <c r="P30" t="s">
        <v>18</v>
      </c>
    </row>
    <row r="31" spans="1:16" x14ac:dyDescent="0.3">
      <c r="A31">
        <v>18</v>
      </c>
      <c r="B31" t="s">
        <v>61</v>
      </c>
      <c r="C31" t="s">
        <v>22</v>
      </c>
      <c r="D31">
        <v>2.0545620000000002</v>
      </c>
      <c r="E31">
        <v>1.660866</v>
      </c>
      <c r="F31">
        <v>1.2094419999999999</v>
      </c>
      <c r="G31">
        <v>1.067591</v>
      </c>
      <c r="H31">
        <v>-10.51868</v>
      </c>
      <c r="I31">
        <v>0</v>
      </c>
      <c r="J31">
        <v>0</v>
      </c>
      <c r="K31">
        <v>0</v>
      </c>
      <c r="L31">
        <v>1.251282</v>
      </c>
      <c r="M31">
        <v>2.2700079999999998</v>
      </c>
      <c r="N31">
        <v>0</v>
      </c>
      <c r="O31">
        <v>0</v>
      </c>
      <c r="P31" t="s">
        <v>18</v>
      </c>
    </row>
    <row r="32" spans="1:16" x14ac:dyDescent="0.3">
      <c r="A32">
        <v>18</v>
      </c>
      <c r="B32" t="s">
        <v>62</v>
      </c>
      <c r="C32" t="s">
        <v>24</v>
      </c>
      <c r="D32">
        <v>0.6146566</v>
      </c>
      <c r="E32">
        <v>0.1136551</v>
      </c>
      <c r="F32">
        <v>0.60405730000000002</v>
      </c>
      <c r="G32">
        <v>2.3592719999999998</v>
      </c>
      <c r="H32">
        <v>-12.70532</v>
      </c>
      <c r="I32">
        <v>0</v>
      </c>
      <c r="J32">
        <v>0</v>
      </c>
      <c r="K32">
        <v>0.1380017</v>
      </c>
      <c r="L32">
        <v>0.54504390000000003</v>
      </c>
      <c r="M32">
        <v>0.36469269999999998</v>
      </c>
      <c r="N32">
        <v>0</v>
      </c>
      <c r="O32">
        <v>0</v>
      </c>
      <c r="P32" t="s">
        <v>18</v>
      </c>
    </row>
    <row r="33" spans="1:16" x14ac:dyDescent="0.3">
      <c r="A33">
        <v>18</v>
      </c>
      <c r="B33" t="s">
        <v>63</v>
      </c>
      <c r="C33" t="s">
        <v>26</v>
      </c>
      <c r="D33">
        <v>1.881375</v>
      </c>
      <c r="E33">
        <v>1.390091</v>
      </c>
      <c r="F33">
        <v>-1.2677609999999999</v>
      </c>
      <c r="G33">
        <v>0.83707900000000002</v>
      </c>
      <c r="H33">
        <v>-9.3175720000000002</v>
      </c>
      <c r="I33">
        <v>0</v>
      </c>
      <c r="J33">
        <v>0</v>
      </c>
      <c r="K33">
        <v>1.423367</v>
      </c>
      <c r="L33">
        <v>0.55120849999999999</v>
      </c>
      <c r="M33">
        <v>0.35014699999999999</v>
      </c>
      <c r="N33">
        <v>0</v>
      </c>
      <c r="O33">
        <v>0</v>
      </c>
      <c r="P33" t="s">
        <v>18</v>
      </c>
    </row>
    <row r="34" spans="1:16" x14ac:dyDescent="0.3">
      <c r="A34">
        <v>18</v>
      </c>
      <c r="B34" t="s">
        <v>64</v>
      </c>
      <c r="C34" t="s">
        <v>28</v>
      </c>
      <c r="D34">
        <v>2.7741030000000002</v>
      </c>
      <c r="E34">
        <v>0.98237609999999997</v>
      </c>
      <c r="F34">
        <v>-2.5943369999999999</v>
      </c>
      <c r="G34">
        <v>0</v>
      </c>
      <c r="H34">
        <v>-11.22458</v>
      </c>
      <c r="I34">
        <v>0</v>
      </c>
      <c r="J34">
        <v>0</v>
      </c>
      <c r="K34">
        <v>0.20981929999999999</v>
      </c>
      <c r="L34">
        <v>0.67779540000000005</v>
      </c>
      <c r="M34">
        <v>1.2533350000000001</v>
      </c>
      <c r="N34">
        <v>1</v>
      </c>
      <c r="O34">
        <v>0</v>
      </c>
      <c r="P34" t="s">
        <v>31</v>
      </c>
    </row>
    <row r="35" spans="1:16" x14ac:dyDescent="0.3">
      <c r="A35">
        <v>18</v>
      </c>
      <c r="B35" t="s">
        <v>65</v>
      </c>
      <c r="C35" t="s">
        <v>30</v>
      </c>
      <c r="D35">
        <v>0.90858459999999996</v>
      </c>
      <c r="E35">
        <v>0.67581219999999997</v>
      </c>
      <c r="F35">
        <v>0.60729219999999995</v>
      </c>
      <c r="G35">
        <v>1.950162</v>
      </c>
      <c r="H35">
        <v>-9.9569910000000004</v>
      </c>
      <c r="I35">
        <v>0</v>
      </c>
      <c r="J35">
        <v>0</v>
      </c>
      <c r="K35">
        <v>0.60148500000000005</v>
      </c>
      <c r="L35">
        <v>0.56542970000000004</v>
      </c>
      <c r="M35">
        <v>0.39071699999999998</v>
      </c>
      <c r="N35">
        <v>0</v>
      </c>
      <c r="O35">
        <v>0</v>
      </c>
      <c r="P35" t="s">
        <v>18</v>
      </c>
    </row>
    <row r="36" spans="1:16" x14ac:dyDescent="0.3">
      <c r="A36">
        <v>18</v>
      </c>
      <c r="B36" t="s">
        <v>66</v>
      </c>
      <c r="C36" t="s">
        <v>33</v>
      </c>
      <c r="D36">
        <v>3.7626659999999998</v>
      </c>
      <c r="E36">
        <v>-3.5900620000000001</v>
      </c>
      <c r="F36">
        <v>1.126549</v>
      </c>
      <c r="G36">
        <v>0</v>
      </c>
      <c r="H36">
        <v>-22.591329999999999</v>
      </c>
      <c r="I36">
        <v>0</v>
      </c>
      <c r="J36">
        <v>0</v>
      </c>
      <c r="K36">
        <v>0.69798629999999995</v>
      </c>
      <c r="L36">
        <v>0.53179929999999997</v>
      </c>
      <c r="M36">
        <v>0.2243144</v>
      </c>
      <c r="N36">
        <v>1</v>
      </c>
      <c r="O36">
        <v>0</v>
      </c>
      <c r="P36" t="s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</v>
      </c>
      <c r="B2" t="s">
        <v>16</v>
      </c>
      <c r="C2" t="s">
        <v>17</v>
      </c>
      <c r="D2">
        <v>2.1232609999999998</v>
      </c>
      <c r="E2">
        <v>-0.72465520000000005</v>
      </c>
      <c r="F2">
        <v>1.995773</v>
      </c>
      <c r="G2">
        <v>0.78141020000000005</v>
      </c>
      <c r="H2">
        <v>-1.992302</v>
      </c>
      <c r="I2">
        <v>0</v>
      </c>
      <c r="J2">
        <v>0</v>
      </c>
      <c r="K2">
        <v>0</v>
      </c>
      <c r="L2">
        <v>0</v>
      </c>
      <c r="M2">
        <v>4.9081020000000004</v>
      </c>
      <c r="N2">
        <v>1</v>
      </c>
      <c r="O2">
        <v>1</v>
      </c>
      <c r="P2" t="s">
        <v>34</v>
      </c>
    </row>
    <row r="3" spans="1:16" x14ac:dyDescent="0.3">
      <c r="A3">
        <v>10</v>
      </c>
      <c r="B3" t="s">
        <v>19</v>
      </c>
      <c r="C3" t="s">
        <v>20</v>
      </c>
      <c r="D3">
        <v>4.1181780000000003</v>
      </c>
      <c r="E3">
        <v>4.0748899999999999</v>
      </c>
      <c r="F3">
        <v>0.59553529999999999</v>
      </c>
      <c r="G3">
        <v>0</v>
      </c>
      <c r="H3">
        <v>-1.992302</v>
      </c>
      <c r="I3">
        <v>0</v>
      </c>
      <c r="J3">
        <v>3</v>
      </c>
      <c r="K3">
        <v>13.27033</v>
      </c>
      <c r="L3">
        <v>0</v>
      </c>
      <c r="M3">
        <v>0</v>
      </c>
      <c r="N3">
        <v>1</v>
      </c>
      <c r="O3">
        <v>1</v>
      </c>
      <c r="P3" t="s">
        <v>51</v>
      </c>
    </row>
    <row r="4" spans="1:16" x14ac:dyDescent="0.3">
      <c r="A4">
        <v>11</v>
      </c>
      <c r="B4" t="s">
        <v>21</v>
      </c>
      <c r="C4" t="s">
        <v>17</v>
      </c>
      <c r="D4">
        <v>1.430142</v>
      </c>
      <c r="E4">
        <v>-0.7625885</v>
      </c>
      <c r="F4">
        <v>-1.209862</v>
      </c>
      <c r="G4">
        <v>1.4898560000000001</v>
      </c>
      <c r="H4">
        <v>-7.4402239999999997</v>
      </c>
      <c r="I4">
        <v>0</v>
      </c>
      <c r="J4">
        <v>0</v>
      </c>
      <c r="K4">
        <v>0.5841075</v>
      </c>
      <c r="L4">
        <v>1.268311</v>
      </c>
      <c r="M4">
        <v>1.9855670000000001</v>
      </c>
      <c r="N4">
        <v>0</v>
      </c>
      <c r="O4">
        <v>0</v>
      </c>
      <c r="P4" t="s">
        <v>18</v>
      </c>
    </row>
    <row r="5" spans="1:16" x14ac:dyDescent="0.3">
      <c r="A5">
        <v>11</v>
      </c>
      <c r="B5" t="s">
        <v>23</v>
      </c>
      <c r="C5" t="s">
        <v>20</v>
      </c>
      <c r="D5">
        <v>1.0213620000000001</v>
      </c>
      <c r="E5">
        <v>-0.84631350000000005</v>
      </c>
      <c r="F5">
        <v>-0.57178119999999999</v>
      </c>
      <c r="G5">
        <v>2.607882</v>
      </c>
      <c r="H5">
        <v>-9.3077369999999995</v>
      </c>
      <c r="I5">
        <v>0</v>
      </c>
      <c r="J5">
        <v>0</v>
      </c>
      <c r="K5">
        <v>0.1008351</v>
      </c>
      <c r="L5">
        <v>1.61676</v>
      </c>
      <c r="M5">
        <v>1.893581</v>
      </c>
      <c r="N5">
        <v>0</v>
      </c>
      <c r="O5">
        <v>0</v>
      </c>
      <c r="P5" t="s">
        <v>18</v>
      </c>
    </row>
    <row r="6" spans="1:16" x14ac:dyDescent="0.3">
      <c r="A6">
        <v>11</v>
      </c>
      <c r="B6" t="s">
        <v>25</v>
      </c>
      <c r="C6" t="s">
        <v>22</v>
      </c>
      <c r="D6">
        <v>3.4768460000000001</v>
      </c>
      <c r="E6">
        <v>1.634277</v>
      </c>
      <c r="F6">
        <v>3.06881</v>
      </c>
      <c r="G6">
        <v>0</v>
      </c>
      <c r="H6">
        <v>-7.8994220000000004</v>
      </c>
      <c r="I6">
        <v>0</v>
      </c>
      <c r="J6">
        <v>2</v>
      </c>
      <c r="K6">
        <v>8.0043520000000008</v>
      </c>
      <c r="L6">
        <v>1.5873109999999999</v>
      </c>
      <c r="M6">
        <v>6.1564439999999996</v>
      </c>
      <c r="N6">
        <v>1</v>
      </c>
      <c r="O6">
        <v>0</v>
      </c>
      <c r="P6" t="s">
        <v>31</v>
      </c>
    </row>
    <row r="7" spans="1:16" x14ac:dyDescent="0.3">
      <c r="A7">
        <v>11</v>
      </c>
      <c r="B7" t="s">
        <v>27</v>
      </c>
      <c r="C7" t="s">
        <v>24</v>
      </c>
      <c r="D7">
        <v>2.3837079999999999</v>
      </c>
      <c r="E7">
        <v>2.1707459999999998</v>
      </c>
      <c r="F7">
        <v>0.98484799999999995</v>
      </c>
      <c r="G7">
        <v>0.52488279999999998</v>
      </c>
      <c r="H7">
        <v>-10.977600000000001</v>
      </c>
      <c r="I7">
        <v>0</v>
      </c>
      <c r="J7">
        <v>0</v>
      </c>
      <c r="K7">
        <v>0</v>
      </c>
      <c r="L7">
        <v>0.83755489999999999</v>
      </c>
      <c r="M7">
        <v>2.3423430000000001</v>
      </c>
      <c r="N7">
        <v>0</v>
      </c>
      <c r="O7">
        <v>0</v>
      </c>
      <c r="P7" t="s">
        <v>18</v>
      </c>
    </row>
    <row r="8" spans="1:16" x14ac:dyDescent="0.3">
      <c r="A8">
        <v>11</v>
      </c>
      <c r="B8" t="s">
        <v>29</v>
      </c>
      <c r="C8" t="s">
        <v>26</v>
      </c>
      <c r="D8">
        <v>0.55827130000000003</v>
      </c>
      <c r="E8">
        <v>0.45077509999999998</v>
      </c>
      <c r="F8">
        <v>-0.32934570000000002</v>
      </c>
      <c r="G8">
        <v>2.1636860000000002</v>
      </c>
      <c r="H8">
        <v>-9.2428819999999998</v>
      </c>
      <c r="I8">
        <v>0</v>
      </c>
      <c r="J8">
        <v>0</v>
      </c>
      <c r="K8">
        <v>1.038335</v>
      </c>
      <c r="L8">
        <v>1.12384</v>
      </c>
      <c r="M8">
        <v>2.4131049999999998</v>
      </c>
      <c r="N8">
        <v>0</v>
      </c>
      <c r="O8">
        <v>0</v>
      </c>
      <c r="P8" t="s">
        <v>18</v>
      </c>
    </row>
    <row r="9" spans="1:16" x14ac:dyDescent="0.3">
      <c r="A9">
        <v>11</v>
      </c>
      <c r="B9" t="s">
        <v>32</v>
      </c>
      <c r="C9" t="s">
        <v>28</v>
      </c>
      <c r="D9">
        <v>1.084138</v>
      </c>
      <c r="E9">
        <v>0.9604454</v>
      </c>
      <c r="F9">
        <v>-0.50289150000000005</v>
      </c>
      <c r="G9">
        <v>1.7493479999999999</v>
      </c>
      <c r="H9">
        <v>-12.86669</v>
      </c>
      <c r="I9">
        <v>0</v>
      </c>
      <c r="J9">
        <v>0</v>
      </c>
      <c r="K9">
        <v>7.3742020000000005E-2</v>
      </c>
      <c r="L9">
        <v>0.97335819999999995</v>
      </c>
      <c r="M9">
        <v>0.91786089999999998</v>
      </c>
      <c r="N9">
        <v>0</v>
      </c>
      <c r="O9">
        <v>0</v>
      </c>
      <c r="P9" t="s">
        <v>18</v>
      </c>
    </row>
    <row r="10" spans="1:16" x14ac:dyDescent="0.3">
      <c r="A10">
        <v>11</v>
      </c>
      <c r="B10" t="s">
        <v>38</v>
      </c>
      <c r="C10" t="s">
        <v>30</v>
      </c>
      <c r="D10">
        <v>0.66155149999999996</v>
      </c>
      <c r="E10">
        <v>0.51229720000000001</v>
      </c>
      <c r="F10">
        <v>0.41857149999999999</v>
      </c>
      <c r="G10">
        <v>2.1976070000000001</v>
      </c>
      <c r="H10">
        <v>-11.251950000000001</v>
      </c>
      <c r="I10">
        <v>0</v>
      </c>
      <c r="J10">
        <v>0</v>
      </c>
      <c r="K10">
        <v>0.36166549999999997</v>
      </c>
      <c r="L10">
        <v>2.003082</v>
      </c>
      <c r="M10">
        <v>1.5891439999999999</v>
      </c>
      <c r="N10">
        <v>0</v>
      </c>
      <c r="O10">
        <v>0</v>
      </c>
      <c r="P10" t="s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3</v>
      </c>
      <c r="B2" t="s">
        <v>16</v>
      </c>
      <c r="C2" t="s">
        <v>17</v>
      </c>
      <c r="D2">
        <v>0.3257833</v>
      </c>
      <c r="E2">
        <v>0.19639590000000001</v>
      </c>
      <c r="F2">
        <v>-0.25992969999999999</v>
      </c>
      <c r="G2">
        <v>2.769485</v>
      </c>
      <c r="H2">
        <v>-14.138260000000001</v>
      </c>
      <c r="I2">
        <v>0</v>
      </c>
      <c r="J2">
        <v>0</v>
      </c>
      <c r="K2">
        <v>0.80778620000000001</v>
      </c>
      <c r="L2">
        <v>2.0074920000000001</v>
      </c>
      <c r="M2">
        <v>10.54649</v>
      </c>
      <c r="N2">
        <v>0</v>
      </c>
      <c r="O2">
        <v>0</v>
      </c>
      <c r="P2" t="s">
        <v>18</v>
      </c>
    </row>
    <row r="3" spans="1:16" x14ac:dyDescent="0.3">
      <c r="A3">
        <v>3</v>
      </c>
      <c r="B3" t="s">
        <v>19</v>
      </c>
      <c r="C3" t="s">
        <v>20</v>
      </c>
      <c r="D3">
        <v>1.7457290000000001</v>
      </c>
      <c r="E3">
        <v>1.565491</v>
      </c>
      <c r="F3">
        <v>0.77253340000000004</v>
      </c>
      <c r="G3">
        <v>1.6043799999999999</v>
      </c>
      <c r="H3">
        <v>-10.63303</v>
      </c>
      <c r="I3">
        <v>0</v>
      </c>
      <c r="J3">
        <v>0</v>
      </c>
      <c r="K3">
        <v>0.11534990000000001</v>
      </c>
      <c r="L3">
        <v>2.0028990000000002</v>
      </c>
      <c r="M3">
        <v>5.7989329999999999</v>
      </c>
      <c r="N3">
        <v>0</v>
      </c>
      <c r="O3">
        <v>0</v>
      </c>
      <c r="P3" t="s">
        <v>18</v>
      </c>
    </row>
    <row r="4" spans="1:16" x14ac:dyDescent="0.3">
      <c r="A4">
        <v>3</v>
      </c>
      <c r="B4" t="s">
        <v>21</v>
      </c>
      <c r="C4" t="s">
        <v>22</v>
      </c>
      <c r="D4">
        <v>1.8289070000000001</v>
      </c>
      <c r="E4">
        <v>1.0995250000000001</v>
      </c>
      <c r="F4">
        <v>1.461487</v>
      </c>
      <c r="G4">
        <v>1.251053</v>
      </c>
      <c r="H4">
        <v>-10.48095</v>
      </c>
      <c r="I4">
        <v>0</v>
      </c>
      <c r="J4">
        <v>0</v>
      </c>
      <c r="K4">
        <v>0.2105177</v>
      </c>
      <c r="L4">
        <v>1.039291</v>
      </c>
      <c r="M4">
        <v>1.6269199999999999</v>
      </c>
      <c r="N4">
        <v>0</v>
      </c>
      <c r="O4">
        <v>0</v>
      </c>
      <c r="P4" t="s">
        <v>18</v>
      </c>
    </row>
    <row r="5" spans="1:16" x14ac:dyDescent="0.3">
      <c r="A5">
        <v>3</v>
      </c>
      <c r="B5" t="s">
        <v>23</v>
      </c>
      <c r="C5" t="s">
        <v>24</v>
      </c>
      <c r="D5">
        <v>2.989595</v>
      </c>
      <c r="E5">
        <v>2.485382</v>
      </c>
      <c r="F5">
        <v>1.6614910000000001</v>
      </c>
      <c r="G5">
        <v>0</v>
      </c>
      <c r="H5">
        <v>-15.80725</v>
      </c>
      <c r="I5">
        <v>0</v>
      </c>
      <c r="J5">
        <v>0</v>
      </c>
      <c r="K5">
        <v>1.3089059999999999</v>
      </c>
      <c r="L5">
        <v>2.007263</v>
      </c>
      <c r="M5">
        <v>8.3803090000000005</v>
      </c>
      <c r="N5">
        <v>1</v>
      </c>
      <c r="O5">
        <v>0</v>
      </c>
      <c r="P5" t="s">
        <v>31</v>
      </c>
    </row>
    <row r="6" spans="1:16" x14ac:dyDescent="0.3">
      <c r="A6">
        <v>3</v>
      </c>
      <c r="B6" t="s">
        <v>25</v>
      </c>
      <c r="C6" t="s">
        <v>26</v>
      </c>
      <c r="D6">
        <v>1.3159080000000001</v>
      </c>
      <c r="E6">
        <v>-0.92614750000000001</v>
      </c>
      <c r="F6">
        <v>0.93480680000000005</v>
      </c>
      <c r="G6">
        <v>1.9581230000000001</v>
      </c>
      <c r="H6">
        <v>-10.0381</v>
      </c>
      <c r="I6">
        <v>0</v>
      </c>
      <c r="J6">
        <v>0</v>
      </c>
      <c r="K6">
        <v>0.48038160000000002</v>
      </c>
      <c r="L6">
        <v>1.781158</v>
      </c>
      <c r="M6">
        <v>2.4742690000000001</v>
      </c>
      <c r="N6">
        <v>0</v>
      </c>
      <c r="O6">
        <v>0</v>
      </c>
      <c r="P6" t="s">
        <v>18</v>
      </c>
    </row>
    <row r="7" spans="1:16" x14ac:dyDescent="0.3">
      <c r="A7">
        <v>3</v>
      </c>
      <c r="B7" t="s">
        <v>27</v>
      </c>
      <c r="C7" t="s">
        <v>28</v>
      </c>
      <c r="D7">
        <v>1.7348950000000001</v>
      </c>
      <c r="E7">
        <v>-1.2623789999999999</v>
      </c>
      <c r="F7">
        <v>1.190067</v>
      </c>
      <c r="G7">
        <v>1.452914</v>
      </c>
      <c r="H7">
        <v>-10.750830000000001</v>
      </c>
      <c r="I7">
        <v>0</v>
      </c>
      <c r="J7">
        <v>0</v>
      </c>
      <c r="K7">
        <v>0.6514143</v>
      </c>
      <c r="L7">
        <v>1.8160860000000001</v>
      </c>
      <c r="M7">
        <v>2.1164480000000001</v>
      </c>
      <c r="N7">
        <v>0</v>
      </c>
      <c r="O7">
        <v>0</v>
      </c>
      <c r="P7" t="s">
        <v>18</v>
      </c>
    </row>
    <row r="8" spans="1:16" x14ac:dyDescent="0.3">
      <c r="A8">
        <v>3</v>
      </c>
      <c r="B8" t="s">
        <v>29</v>
      </c>
      <c r="C8" t="s">
        <v>30</v>
      </c>
      <c r="D8">
        <v>2.6663420000000002</v>
      </c>
      <c r="E8">
        <v>2.360449</v>
      </c>
      <c r="F8">
        <v>-1.2400249999999999</v>
      </c>
      <c r="G8">
        <v>0.28826810000000003</v>
      </c>
      <c r="H8">
        <v>-10.05613</v>
      </c>
      <c r="I8">
        <v>0</v>
      </c>
      <c r="J8">
        <v>0</v>
      </c>
      <c r="K8">
        <v>0.59708459999999997</v>
      </c>
      <c r="L8">
        <v>1.0645899999999999</v>
      </c>
      <c r="M8">
        <v>3.2786789999999999</v>
      </c>
      <c r="N8">
        <v>0</v>
      </c>
      <c r="O8">
        <v>0</v>
      </c>
      <c r="P8" t="s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5</v>
      </c>
      <c r="B2" t="s">
        <v>16</v>
      </c>
      <c r="C2" t="s">
        <v>17</v>
      </c>
      <c r="D2">
        <v>0.6423489</v>
      </c>
      <c r="E2">
        <v>0.15007019999999999</v>
      </c>
      <c r="F2">
        <v>0.62457280000000004</v>
      </c>
      <c r="G2">
        <v>2.3447450000000001</v>
      </c>
      <c r="H2">
        <v>-9.7163129999999995</v>
      </c>
      <c r="I2">
        <v>0</v>
      </c>
      <c r="J2">
        <v>0</v>
      </c>
      <c r="K2">
        <v>6.9855829999999994E-2</v>
      </c>
      <c r="L2">
        <v>1.1959230000000001</v>
      </c>
      <c r="M2">
        <v>0.82482610000000001</v>
      </c>
      <c r="N2">
        <v>0</v>
      </c>
      <c r="O2">
        <v>0</v>
      </c>
      <c r="P2" t="s">
        <v>18</v>
      </c>
    </row>
    <row r="3" spans="1:16" x14ac:dyDescent="0.3">
      <c r="A3">
        <v>5</v>
      </c>
      <c r="B3" t="s">
        <v>19</v>
      </c>
      <c r="C3" t="s">
        <v>20</v>
      </c>
      <c r="D3">
        <v>0.74620059999999999</v>
      </c>
      <c r="E3">
        <v>-0.56843569999999999</v>
      </c>
      <c r="F3">
        <v>0.4834213</v>
      </c>
      <c r="G3">
        <v>2.8812280000000001</v>
      </c>
      <c r="H3">
        <v>-12.87255</v>
      </c>
      <c r="I3">
        <v>0</v>
      </c>
      <c r="J3">
        <v>0</v>
      </c>
      <c r="K3">
        <v>0.20150580000000001</v>
      </c>
      <c r="L3">
        <v>0</v>
      </c>
      <c r="M3">
        <v>4.6472329999999999</v>
      </c>
      <c r="N3">
        <v>1</v>
      </c>
      <c r="O3">
        <v>1</v>
      </c>
      <c r="P3" t="s">
        <v>34</v>
      </c>
    </row>
    <row r="4" spans="1:16" x14ac:dyDescent="0.3">
      <c r="A4">
        <v>5</v>
      </c>
      <c r="B4" t="s">
        <v>21</v>
      </c>
      <c r="C4" t="s">
        <v>24</v>
      </c>
      <c r="D4">
        <v>2.5290010000000001</v>
      </c>
      <c r="E4">
        <v>2.3292920000000001</v>
      </c>
      <c r="F4">
        <v>0.9850082</v>
      </c>
      <c r="G4">
        <v>0.37860820000000001</v>
      </c>
      <c r="H4">
        <v>-16.77899</v>
      </c>
      <c r="I4">
        <v>0</v>
      </c>
      <c r="J4">
        <v>0</v>
      </c>
      <c r="K4">
        <v>1.351394</v>
      </c>
      <c r="L4">
        <v>1.1168819999999999</v>
      </c>
      <c r="M4">
        <v>1.8754580000000001</v>
      </c>
      <c r="N4">
        <v>0</v>
      </c>
      <c r="O4">
        <v>0</v>
      </c>
      <c r="P4" t="s">
        <v>18</v>
      </c>
    </row>
    <row r="5" spans="1:16" x14ac:dyDescent="0.3">
      <c r="A5">
        <v>5</v>
      </c>
      <c r="B5" t="s">
        <v>23</v>
      </c>
      <c r="C5" t="s">
        <v>26</v>
      </c>
      <c r="D5">
        <v>0.97776200000000002</v>
      </c>
      <c r="E5">
        <v>0.97286220000000001</v>
      </c>
      <c r="F5">
        <v>-9.7763059999999999E-2</v>
      </c>
      <c r="G5">
        <v>1.8557790000000001</v>
      </c>
      <c r="H5">
        <v>-13.2521</v>
      </c>
      <c r="I5">
        <v>0</v>
      </c>
      <c r="J5">
        <v>0</v>
      </c>
      <c r="K5">
        <v>0.37399719999999997</v>
      </c>
      <c r="L5">
        <v>0.54949950000000003</v>
      </c>
      <c r="M5">
        <v>0.33540730000000002</v>
      </c>
      <c r="N5">
        <v>0</v>
      </c>
      <c r="O5">
        <v>0</v>
      </c>
      <c r="P5" t="s">
        <v>18</v>
      </c>
    </row>
    <row r="6" spans="1:16" x14ac:dyDescent="0.3">
      <c r="A6">
        <v>5</v>
      </c>
      <c r="B6" t="s">
        <v>25</v>
      </c>
      <c r="C6" t="s">
        <v>28</v>
      </c>
      <c r="D6">
        <v>3.1415510000000002</v>
      </c>
      <c r="E6">
        <v>3.0187719999999998</v>
      </c>
      <c r="F6">
        <v>0.86968990000000002</v>
      </c>
      <c r="G6">
        <v>0</v>
      </c>
      <c r="H6">
        <v>-13.662850000000001</v>
      </c>
      <c r="I6">
        <v>0</v>
      </c>
      <c r="J6">
        <v>0</v>
      </c>
      <c r="K6">
        <v>0.8918237</v>
      </c>
      <c r="L6">
        <v>1.342255</v>
      </c>
      <c r="M6">
        <v>4.9255399999999998</v>
      </c>
      <c r="N6">
        <v>1</v>
      </c>
      <c r="O6">
        <v>0</v>
      </c>
      <c r="P6" t="s">
        <v>31</v>
      </c>
    </row>
    <row r="7" spans="1:16" x14ac:dyDescent="0.3">
      <c r="A7">
        <v>5</v>
      </c>
      <c r="B7" t="s">
        <v>27</v>
      </c>
      <c r="C7" t="s">
        <v>30</v>
      </c>
      <c r="D7">
        <v>1.3552439999999999</v>
      </c>
      <c r="E7">
        <v>1.1579090000000001</v>
      </c>
      <c r="F7">
        <v>-0.70422359999999995</v>
      </c>
      <c r="G7">
        <v>1.604495</v>
      </c>
      <c r="H7">
        <v>-12.40353</v>
      </c>
      <c r="I7">
        <v>0</v>
      </c>
      <c r="J7">
        <v>0</v>
      </c>
      <c r="K7">
        <v>0.95434609999999997</v>
      </c>
      <c r="L7">
        <v>1.4848939999999999</v>
      </c>
      <c r="M7">
        <v>2.46658</v>
      </c>
      <c r="N7">
        <v>0</v>
      </c>
      <c r="O7">
        <v>0</v>
      </c>
      <c r="P7" t="s">
        <v>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</v>
      </c>
      <c r="B2" t="s">
        <v>16</v>
      </c>
      <c r="C2" t="s">
        <v>17</v>
      </c>
      <c r="D2">
        <v>2.4812590000000001</v>
      </c>
      <c r="E2">
        <v>2.0590670000000002</v>
      </c>
      <c r="F2">
        <v>1.3845179999999999</v>
      </c>
      <c r="G2">
        <v>0.64802720000000003</v>
      </c>
      <c r="H2">
        <v>-7.0001030000000002</v>
      </c>
      <c r="I2">
        <v>0</v>
      </c>
      <c r="J2">
        <v>0</v>
      </c>
      <c r="K2">
        <v>0.24757670000000001</v>
      </c>
      <c r="L2">
        <v>0.7844238</v>
      </c>
      <c r="M2">
        <v>2.8636979999999999</v>
      </c>
      <c r="N2">
        <v>0</v>
      </c>
      <c r="O2">
        <v>0</v>
      </c>
      <c r="P2" t="s">
        <v>18</v>
      </c>
    </row>
    <row r="3" spans="1:16" x14ac:dyDescent="0.3">
      <c r="A3">
        <v>8</v>
      </c>
      <c r="B3" t="s">
        <v>19</v>
      </c>
      <c r="C3" t="s">
        <v>20</v>
      </c>
      <c r="D3">
        <v>1.741851</v>
      </c>
      <c r="E3">
        <v>9.535217E-2</v>
      </c>
      <c r="F3">
        <v>-1.739239</v>
      </c>
      <c r="G3">
        <v>1.730747</v>
      </c>
      <c r="H3">
        <v>-19.270820000000001</v>
      </c>
      <c r="I3">
        <v>0</v>
      </c>
      <c r="J3">
        <v>0</v>
      </c>
      <c r="K3">
        <v>0</v>
      </c>
      <c r="L3">
        <v>1.275757</v>
      </c>
      <c r="M3">
        <v>3.4307089999999998</v>
      </c>
      <c r="N3">
        <v>0</v>
      </c>
      <c r="O3">
        <v>0</v>
      </c>
      <c r="P3" t="s">
        <v>18</v>
      </c>
    </row>
    <row r="4" spans="1:16" x14ac:dyDescent="0.3">
      <c r="A4">
        <v>8</v>
      </c>
      <c r="B4" t="s">
        <v>21</v>
      </c>
      <c r="C4" t="s">
        <v>22</v>
      </c>
      <c r="D4">
        <v>3.1352060000000002</v>
      </c>
      <c r="E4">
        <v>2.9790730000000001</v>
      </c>
      <c r="F4">
        <v>-0.97705839999999999</v>
      </c>
      <c r="G4">
        <v>3.2363410000000002E-2</v>
      </c>
      <c r="H4">
        <v>-19.270820000000001</v>
      </c>
      <c r="I4">
        <v>0</v>
      </c>
      <c r="J4">
        <v>0</v>
      </c>
      <c r="K4">
        <v>0.89145180000000002</v>
      </c>
      <c r="L4">
        <v>0</v>
      </c>
      <c r="M4">
        <v>0</v>
      </c>
      <c r="N4">
        <v>1</v>
      </c>
      <c r="O4">
        <v>1</v>
      </c>
      <c r="P4" t="s">
        <v>34</v>
      </c>
    </row>
    <row r="5" spans="1:16" x14ac:dyDescent="0.3">
      <c r="A5">
        <v>9</v>
      </c>
      <c r="B5" t="s">
        <v>23</v>
      </c>
      <c r="C5" t="s">
        <v>17</v>
      </c>
      <c r="D5">
        <v>3.3983569999999999</v>
      </c>
      <c r="E5">
        <v>0.31214900000000001</v>
      </c>
      <c r="F5">
        <v>3.383991</v>
      </c>
      <c r="G5">
        <v>0</v>
      </c>
      <c r="H5">
        <v>-14.314220000000001</v>
      </c>
      <c r="I5">
        <v>0</v>
      </c>
      <c r="J5">
        <v>2</v>
      </c>
      <c r="K5">
        <v>6.485779</v>
      </c>
      <c r="L5">
        <v>1.4024049999999999</v>
      </c>
      <c r="M5">
        <v>4.4581629999999999</v>
      </c>
      <c r="N5">
        <v>1</v>
      </c>
      <c r="O5">
        <v>0</v>
      </c>
      <c r="P5" t="s">
        <v>31</v>
      </c>
    </row>
    <row r="6" spans="1:16" x14ac:dyDescent="0.3">
      <c r="A6">
        <v>9</v>
      </c>
      <c r="B6" t="s">
        <v>25</v>
      </c>
      <c r="C6" t="s">
        <v>20</v>
      </c>
      <c r="D6">
        <v>7.3797430000000004</v>
      </c>
      <c r="E6">
        <v>0.36311339999999998</v>
      </c>
      <c r="F6">
        <v>-7.3708039999999997</v>
      </c>
      <c r="G6">
        <v>0</v>
      </c>
      <c r="H6">
        <v>-14.314220000000001</v>
      </c>
      <c r="I6">
        <v>0</v>
      </c>
      <c r="J6">
        <v>0</v>
      </c>
      <c r="K6">
        <v>1.445516</v>
      </c>
      <c r="L6">
        <v>0</v>
      </c>
      <c r="M6">
        <v>0</v>
      </c>
      <c r="N6">
        <v>1</v>
      </c>
      <c r="O6">
        <v>1</v>
      </c>
      <c r="P6" t="s">
        <v>35</v>
      </c>
    </row>
    <row r="7" spans="1:16" x14ac:dyDescent="0.3">
      <c r="A7">
        <v>10</v>
      </c>
      <c r="B7" t="s">
        <v>27</v>
      </c>
      <c r="C7" t="s">
        <v>17</v>
      </c>
      <c r="D7">
        <v>2.241565</v>
      </c>
      <c r="E7">
        <v>-1.6224209999999999</v>
      </c>
      <c r="F7">
        <v>1.546726</v>
      </c>
      <c r="G7">
        <v>0.60526469999999999</v>
      </c>
      <c r="H7">
        <v>-19.43751</v>
      </c>
      <c r="I7">
        <v>0</v>
      </c>
      <c r="J7">
        <v>0</v>
      </c>
      <c r="K7">
        <v>1.251387</v>
      </c>
      <c r="L7">
        <v>0.55072019999999999</v>
      </c>
      <c r="M7">
        <v>0.34948869999999999</v>
      </c>
      <c r="N7">
        <v>0</v>
      </c>
      <c r="O7">
        <v>0</v>
      </c>
      <c r="P7" t="s">
        <v>18</v>
      </c>
    </row>
    <row r="8" spans="1:16" x14ac:dyDescent="0.3">
      <c r="A8">
        <v>10</v>
      </c>
      <c r="B8" t="s">
        <v>29</v>
      </c>
      <c r="C8" t="s">
        <v>20</v>
      </c>
      <c r="D8">
        <v>1.7546189999999999</v>
      </c>
      <c r="E8">
        <v>-0.41719060000000002</v>
      </c>
      <c r="F8">
        <v>-1.7042999999999999</v>
      </c>
      <c r="G8">
        <v>1.767968</v>
      </c>
      <c r="H8">
        <v>-11.66466</v>
      </c>
      <c r="I8">
        <v>0</v>
      </c>
      <c r="J8">
        <v>0</v>
      </c>
      <c r="K8">
        <v>2.6132029999999999</v>
      </c>
      <c r="L8">
        <v>0.67071530000000001</v>
      </c>
      <c r="M8">
        <v>1.5920179999999999</v>
      </c>
      <c r="N8">
        <v>0</v>
      </c>
      <c r="O8">
        <v>0</v>
      </c>
      <c r="P8" t="s">
        <v>18</v>
      </c>
    </row>
    <row r="9" spans="1:16" x14ac:dyDescent="0.3">
      <c r="A9">
        <v>10</v>
      </c>
      <c r="B9" t="s">
        <v>32</v>
      </c>
      <c r="C9" t="s">
        <v>22</v>
      </c>
      <c r="D9">
        <v>2.858257</v>
      </c>
      <c r="E9">
        <v>1.713295</v>
      </c>
      <c r="F9">
        <v>2.287849</v>
      </c>
      <c r="G9">
        <v>0.2236862</v>
      </c>
      <c r="H9">
        <v>-11.359690000000001</v>
      </c>
      <c r="I9">
        <v>0</v>
      </c>
      <c r="J9">
        <v>0</v>
      </c>
      <c r="K9">
        <v>0.67464970000000002</v>
      </c>
      <c r="L9">
        <v>0.4760742</v>
      </c>
      <c r="M9">
        <v>9.6348589999999998E-2</v>
      </c>
      <c r="N9">
        <v>0</v>
      </c>
      <c r="O9">
        <v>0</v>
      </c>
      <c r="P9" t="s">
        <v>36</v>
      </c>
    </row>
    <row r="10" spans="1:16" x14ac:dyDescent="0.3">
      <c r="A10">
        <v>10</v>
      </c>
      <c r="B10" t="s">
        <v>38</v>
      </c>
      <c r="C10" t="s">
        <v>24</v>
      </c>
      <c r="D10">
        <v>36.421349999999997</v>
      </c>
      <c r="E10">
        <v>34.450020000000002</v>
      </c>
      <c r="F10">
        <v>11.819929999999999</v>
      </c>
      <c r="G10">
        <v>0</v>
      </c>
      <c r="H10">
        <v>-11.359690000000001</v>
      </c>
      <c r="I10">
        <v>0</v>
      </c>
      <c r="J10">
        <v>0</v>
      </c>
      <c r="K10">
        <v>0.48342049999999998</v>
      </c>
      <c r="L10">
        <v>0</v>
      </c>
      <c r="M10">
        <v>0</v>
      </c>
      <c r="N10">
        <v>1</v>
      </c>
      <c r="O10">
        <v>1</v>
      </c>
      <c r="P10" t="s">
        <v>51</v>
      </c>
    </row>
    <row r="11" spans="1:16" x14ac:dyDescent="0.3">
      <c r="A11">
        <v>11</v>
      </c>
      <c r="B11" t="s">
        <v>39</v>
      </c>
      <c r="C11" t="s">
        <v>17</v>
      </c>
      <c r="D11">
        <v>2.5020180000000001</v>
      </c>
      <c r="E11">
        <v>-1.5551759999999999</v>
      </c>
      <c r="F11">
        <v>1.9599800000000001</v>
      </c>
      <c r="G11">
        <v>0.35976789999999997</v>
      </c>
      <c r="H11">
        <v>-18.245370000000001</v>
      </c>
      <c r="I11">
        <v>0</v>
      </c>
      <c r="J11">
        <v>0</v>
      </c>
      <c r="K11">
        <v>1.2328520000000001</v>
      </c>
      <c r="L11">
        <v>0.52508540000000004</v>
      </c>
      <c r="M11">
        <v>0.20982290000000001</v>
      </c>
      <c r="N11">
        <v>0</v>
      </c>
      <c r="O11">
        <v>0</v>
      </c>
      <c r="P11" t="s">
        <v>18</v>
      </c>
    </row>
    <row r="12" spans="1:16" x14ac:dyDescent="0.3">
      <c r="A12">
        <v>11</v>
      </c>
      <c r="B12" t="s">
        <v>40</v>
      </c>
      <c r="C12" t="s">
        <v>20</v>
      </c>
      <c r="D12">
        <v>2.0206780000000002</v>
      </c>
      <c r="E12">
        <v>-1.9866790000000001</v>
      </c>
      <c r="F12">
        <v>0.36911389999999999</v>
      </c>
      <c r="G12">
        <v>1.648166</v>
      </c>
      <c r="H12">
        <v>-11.138030000000001</v>
      </c>
      <c r="I12">
        <v>0</v>
      </c>
      <c r="J12">
        <v>0</v>
      </c>
      <c r="K12">
        <v>2.0880320000000001</v>
      </c>
      <c r="L12">
        <v>1.805115</v>
      </c>
      <c r="M12">
        <v>4.8736480000000002</v>
      </c>
      <c r="N12">
        <v>0</v>
      </c>
      <c r="O12">
        <v>0</v>
      </c>
      <c r="P12" t="s">
        <v>18</v>
      </c>
    </row>
    <row r="13" spans="1:16" x14ac:dyDescent="0.3">
      <c r="A13">
        <v>11</v>
      </c>
      <c r="B13" t="s">
        <v>41</v>
      </c>
      <c r="C13" t="s">
        <v>22</v>
      </c>
      <c r="D13">
        <v>2.036162</v>
      </c>
      <c r="E13">
        <v>2.0151059999999998</v>
      </c>
      <c r="F13">
        <v>-0.29206850000000001</v>
      </c>
      <c r="G13">
        <v>1.134941</v>
      </c>
      <c r="H13">
        <v>-1.7166250000000001</v>
      </c>
      <c r="I13">
        <v>0</v>
      </c>
      <c r="J13">
        <v>2</v>
      </c>
      <c r="K13">
        <v>3.2604669999999998</v>
      </c>
      <c r="L13">
        <v>0.48254390000000003</v>
      </c>
      <c r="M13">
        <v>0.1124399</v>
      </c>
      <c r="N13">
        <v>0</v>
      </c>
      <c r="O13">
        <v>0</v>
      </c>
      <c r="P13" t="s">
        <v>18</v>
      </c>
    </row>
    <row r="14" spans="1:16" x14ac:dyDescent="0.3">
      <c r="A14">
        <v>11</v>
      </c>
      <c r="B14" t="s">
        <v>42</v>
      </c>
      <c r="C14" t="s">
        <v>24</v>
      </c>
      <c r="D14">
        <v>3.468296</v>
      </c>
      <c r="E14">
        <v>3.1410900000000002</v>
      </c>
      <c r="F14">
        <v>-1.4705889999999999</v>
      </c>
      <c r="G14">
        <v>0</v>
      </c>
      <c r="H14">
        <v>-16.020710000000001</v>
      </c>
      <c r="I14">
        <v>0</v>
      </c>
      <c r="J14">
        <v>2</v>
      </c>
      <c r="K14">
        <v>5.4849629999999996</v>
      </c>
      <c r="L14">
        <v>0</v>
      </c>
      <c r="M14">
        <v>0.66259349999999995</v>
      </c>
      <c r="N14">
        <v>1</v>
      </c>
      <c r="O14">
        <v>1</v>
      </c>
      <c r="P14" t="s">
        <v>51</v>
      </c>
    </row>
    <row r="15" spans="1:16" x14ac:dyDescent="0.3">
      <c r="A15">
        <v>12</v>
      </c>
      <c r="B15" t="s">
        <v>44</v>
      </c>
      <c r="C15" t="s">
        <v>17</v>
      </c>
      <c r="D15">
        <v>0.63273380000000001</v>
      </c>
      <c r="E15">
        <v>9.3994140000000004E-2</v>
      </c>
      <c r="F15">
        <v>0.62571330000000003</v>
      </c>
      <c r="G15">
        <v>2.3386719999999999</v>
      </c>
      <c r="H15">
        <v>-12.623530000000001</v>
      </c>
      <c r="I15">
        <v>0</v>
      </c>
      <c r="J15">
        <v>0</v>
      </c>
      <c r="K15">
        <v>2.9551270000000001E-2</v>
      </c>
      <c r="L15">
        <v>0.56042479999999995</v>
      </c>
      <c r="M15">
        <v>0.44302219999999998</v>
      </c>
      <c r="N15">
        <v>0</v>
      </c>
      <c r="O15">
        <v>0</v>
      </c>
      <c r="P15" t="s">
        <v>18</v>
      </c>
    </row>
    <row r="16" spans="1:16" x14ac:dyDescent="0.3">
      <c r="A16">
        <v>12</v>
      </c>
      <c r="B16" t="s">
        <v>45</v>
      </c>
      <c r="C16" t="s">
        <v>20</v>
      </c>
      <c r="D16">
        <v>2.140809</v>
      </c>
      <c r="E16">
        <v>1.592346</v>
      </c>
      <c r="F16">
        <v>1.4309080000000001</v>
      </c>
      <c r="G16">
        <v>1.236191</v>
      </c>
      <c r="H16">
        <v>-10.097049999999999</v>
      </c>
      <c r="I16">
        <v>0</v>
      </c>
      <c r="J16">
        <v>0</v>
      </c>
      <c r="K16">
        <v>0</v>
      </c>
      <c r="L16">
        <v>0.62750240000000002</v>
      </c>
      <c r="M16">
        <v>1.2431350000000001</v>
      </c>
      <c r="N16">
        <v>0</v>
      </c>
      <c r="O16">
        <v>0</v>
      </c>
      <c r="P16" t="s">
        <v>18</v>
      </c>
    </row>
    <row r="17" spans="1:16" x14ac:dyDescent="0.3">
      <c r="A17">
        <v>12</v>
      </c>
      <c r="B17" t="s">
        <v>46</v>
      </c>
      <c r="C17" t="s">
        <v>22</v>
      </c>
      <c r="D17">
        <v>0.52206240000000004</v>
      </c>
      <c r="E17">
        <v>0.46372989999999997</v>
      </c>
      <c r="F17">
        <v>0.2397995</v>
      </c>
      <c r="G17">
        <v>2.6078619999999999</v>
      </c>
      <c r="H17">
        <v>-17.522580000000001</v>
      </c>
      <c r="I17">
        <v>0</v>
      </c>
      <c r="J17">
        <v>0</v>
      </c>
      <c r="K17">
        <v>8.9654609999999996E-2</v>
      </c>
      <c r="L17">
        <v>0.54235840000000002</v>
      </c>
      <c r="M17">
        <v>0.35475899999999999</v>
      </c>
      <c r="N17">
        <v>0</v>
      </c>
      <c r="O17">
        <v>0</v>
      </c>
      <c r="P17" t="s">
        <v>18</v>
      </c>
    </row>
    <row r="18" spans="1:16" x14ac:dyDescent="0.3">
      <c r="A18">
        <v>12</v>
      </c>
      <c r="B18" t="s">
        <v>47</v>
      </c>
      <c r="C18" t="s">
        <v>24</v>
      </c>
      <c r="D18">
        <v>3.2185589999999999</v>
      </c>
      <c r="E18">
        <v>1.659103</v>
      </c>
      <c r="F18">
        <v>2.7579880000000001</v>
      </c>
      <c r="G18">
        <v>0</v>
      </c>
      <c r="H18">
        <v>-19.25076</v>
      </c>
      <c r="I18">
        <v>0</v>
      </c>
      <c r="J18">
        <v>0</v>
      </c>
      <c r="K18">
        <v>5.7101020000000002E-2</v>
      </c>
      <c r="L18">
        <v>1.2666630000000001</v>
      </c>
      <c r="M18">
        <v>2.5471650000000001</v>
      </c>
      <c r="N18">
        <v>1</v>
      </c>
      <c r="O18">
        <v>0</v>
      </c>
      <c r="P18" t="s">
        <v>31</v>
      </c>
    </row>
    <row r="19" spans="1:16" x14ac:dyDescent="0.3">
      <c r="A19">
        <v>12</v>
      </c>
      <c r="B19" t="s">
        <v>48</v>
      </c>
      <c r="C19" t="s">
        <v>26</v>
      </c>
      <c r="D19">
        <v>1.6069739999999999</v>
      </c>
      <c r="E19">
        <v>1.4697720000000001</v>
      </c>
      <c r="F19">
        <v>0.64971920000000005</v>
      </c>
      <c r="G19">
        <v>1.3917440000000001</v>
      </c>
      <c r="H19">
        <v>-19.912089999999999</v>
      </c>
      <c r="I19">
        <v>0</v>
      </c>
      <c r="J19">
        <v>0</v>
      </c>
      <c r="K19">
        <v>0</v>
      </c>
      <c r="L19">
        <v>0.53430180000000005</v>
      </c>
      <c r="M19">
        <v>0.3036662</v>
      </c>
      <c r="N19">
        <v>0</v>
      </c>
      <c r="O19">
        <v>0</v>
      </c>
      <c r="P19" t="s">
        <v>18</v>
      </c>
    </row>
    <row r="20" spans="1:16" x14ac:dyDescent="0.3">
      <c r="A20">
        <v>12</v>
      </c>
      <c r="B20" t="s">
        <v>49</v>
      </c>
      <c r="C20" t="s">
        <v>28</v>
      </c>
      <c r="D20">
        <v>3.266473</v>
      </c>
      <c r="E20">
        <v>3.2051699999999999</v>
      </c>
      <c r="F20">
        <v>-0.62986759999999997</v>
      </c>
      <c r="G20">
        <v>0</v>
      </c>
      <c r="H20">
        <v>0.39070870000000002</v>
      </c>
      <c r="I20">
        <v>0</v>
      </c>
      <c r="J20">
        <v>2</v>
      </c>
      <c r="K20">
        <v>1.8278620000000001</v>
      </c>
      <c r="L20">
        <v>0.46563719999999997</v>
      </c>
      <c r="M20">
        <v>7.5359200000000001E-2</v>
      </c>
      <c r="N20">
        <v>1</v>
      </c>
      <c r="O20">
        <v>0</v>
      </c>
      <c r="P20" t="s">
        <v>31</v>
      </c>
    </row>
    <row r="21" spans="1:16" x14ac:dyDescent="0.3">
      <c r="A21">
        <v>12</v>
      </c>
      <c r="B21" t="s">
        <v>50</v>
      </c>
      <c r="C21" t="s">
        <v>30</v>
      </c>
      <c r="D21">
        <v>2.0021589999999998</v>
      </c>
      <c r="E21">
        <v>1.9649190000000001</v>
      </c>
      <c r="F21">
        <v>0.38436510000000002</v>
      </c>
      <c r="G21">
        <v>0.87902709999999995</v>
      </c>
      <c r="H21">
        <v>-22.14189</v>
      </c>
      <c r="I21">
        <v>0</v>
      </c>
      <c r="J21">
        <v>0</v>
      </c>
      <c r="K21">
        <v>0</v>
      </c>
      <c r="L21">
        <v>0.51068119999999995</v>
      </c>
      <c r="M21">
        <v>0.16830970000000001</v>
      </c>
      <c r="N21">
        <v>0</v>
      </c>
      <c r="O21">
        <v>0</v>
      </c>
      <c r="P21" t="s">
        <v>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7</v>
      </c>
      <c r="B2" t="s">
        <v>16</v>
      </c>
      <c r="C2" t="s">
        <v>17</v>
      </c>
      <c r="D2">
        <v>0.52839670000000005</v>
      </c>
      <c r="E2">
        <v>0.22541810000000001</v>
      </c>
      <c r="F2">
        <v>-0.47790149999999998</v>
      </c>
      <c r="G2">
        <v>2.5497999999999998</v>
      </c>
      <c r="H2">
        <v>-12.531499999999999</v>
      </c>
      <c r="I2">
        <v>0</v>
      </c>
      <c r="J2">
        <v>0</v>
      </c>
      <c r="K2">
        <v>9.0246629999999998E-4</v>
      </c>
      <c r="L2">
        <v>0.74206539999999999</v>
      </c>
      <c r="M2">
        <v>1.7827360000000001</v>
      </c>
      <c r="N2">
        <v>0</v>
      </c>
      <c r="O2">
        <v>0</v>
      </c>
      <c r="P2" t="s">
        <v>18</v>
      </c>
    </row>
    <row r="3" spans="1:16" x14ac:dyDescent="0.3">
      <c r="A3">
        <v>7</v>
      </c>
      <c r="B3" t="s">
        <v>19</v>
      </c>
      <c r="C3" t="s">
        <v>20</v>
      </c>
      <c r="D3">
        <v>0.95097670000000001</v>
      </c>
      <c r="E3">
        <v>0.1100159</v>
      </c>
      <c r="F3">
        <v>-0.94459150000000003</v>
      </c>
      <c r="G3">
        <v>2.505185</v>
      </c>
      <c r="H3">
        <v>-18.43843</v>
      </c>
      <c r="I3">
        <v>0</v>
      </c>
      <c r="J3">
        <v>0</v>
      </c>
      <c r="K3">
        <v>0.28589779999999998</v>
      </c>
      <c r="L3">
        <v>0.49758910000000001</v>
      </c>
      <c r="M3">
        <v>0.1097484</v>
      </c>
      <c r="N3">
        <v>0</v>
      </c>
      <c r="O3">
        <v>0</v>
      </c>
      <c r="P3" t="s">
        <v>18</v>
      </c>
    </row>
    <row r="4" spans="1:16" x14ac:dyDescent="0.3">
      <c r="A4">
        <v>7</v>
      </c>
      <c r="B4" t="s">
        <v>21</v>
      </c>
      <c r="C4" t="s">
        <v>22</v>
      </c>
      <c r="D4">
        <v>0.98833459999999995</v>
      </c>
      <c r="E4">
        <v>3.4942630000000002E-2</v>
      </c>
      <c r="F4">
        <v>0.9877167</v>
      </c>
      <c r="G4">
        <v>1.983277</v>
      </c>
      <c r="H4">
        <v>-17.351949999999999</v>
      </c>
      <c r="I4">
        <v>0</v>
      </c>
      <c r="J4">
        <v>0</v>
      </c>
      <c r="K4">
        <v>2.2132209999999999</v>
      </c>
      <c r="L4">
        <v>0.76690670000000005</v>
      </c>
      <c r="M4">
        <v>1.4416690000000001</v>
      </c>
      <c r="N4">
        <v>0</v>
      </c>
      <c r="O4">
        <v>0</v>
      </c>
      <c r="P4" t="s">
        <v>18</v>
      </c>
    </row>
    <row r="5" spans="1:16" x14ac:dyDescent="0.3">
      <c r="A5">
        <v>7</v>
      </c>
      <c r="B5" t="s">
        <v>23</v>
      </c>
      <c r="C5" t="s">
        <v>24</v>
      </c>
      <c r="D5">
        <v>2.1714600000000002</v>
      </c>
      <c r="E5">
        <v>2.1645129999999999</v>
      </c>
      <c r="F5">
        <v>0.1735611</v>
      </c>
      <c r="G5">
        <v>0.72884749999999998</v>
      </c>
      <c r="H5">
        <v>-19.501159999999999</v>
      </c>
      <c r="I5">
        <v>0</v>
      </c>
      <c r="J5">
        <v>0</v>
      </c>
      <c r="K5">
        <v>5.0755260000000003E-3</v>
      </c>
      <c r="L5">
        <v>0.56048580000000003</v>
      </c>
      <c r="M5">
        <v>0.37606450000000002</v>
      </c>
      <c r="N5">
        <v>0</v>
      </c>
      <c r="O5">
        <v>0</v>
      </c>
      <c r="P5" t="s">
        <v>18</v>
      </c>
    </row>
    <row r="6" spans="1:16" x14ac:dyDescent="0.3">
      <c r="A6">
        <v>7</v>
      </c>
      <c r="B6" t="s">
        <v>25</v>
      </c>
      <c r="C6" t="s">
        <v>26</v>
      </c>
      <c r="D6">
        <v>2.394908</v>
      </c>
      <c r="E6">
        <v>-1.8056369999999999</v>
      </c>
      <c r="F6">
        <v>-1.573296</v>
      </c>
      <c r="G6">
        <v>0.46653939999999999</v>
      </c>
      <c r="H6">
        <v>-13.64977</v>
      </c>
      <c r="I6">
        <v>0</v>
      </c>
      <c r="J6">
        <v>0</v>
      </c>
      <c r="K6">
        <v>0.79599379999999997</v>
      </c>
      <c r="L6">
        <v>2.0177</v>
      </c>
      <c r="M6">
        <v>7.3559369999999999</v>
      </c>
      <c r="N6">
        <v>0</v>
      </c>
      <c r="O6">
        <v>0</v>
      </c>
      <c r="P6" t="s">
        <v>18</v>
      </c>
    </row>
    <row r="7" spans="1:16" x14ac:dyDescent="0.3">
      <c r="A7">
        <v>7</v>
      </c>
      <c r="B7" t="s">
        <v>27</v>
      </c>
      <c r="C7" t="s">
        <v>28</v>
      </c>
      <c r="D7">
        <v>1.081021</v>
      </c>
      <c r="E7">
        <v>-0.37942890000000001</v>
      </c>
      <c r="F7">
        <v>1.0122450000000001</v>
      </c>
      <c r="G7">
        <v>2.1970010000000002</v>
      </c>
      <c r="H7">
        <v>-14.786060000000001</v>
      </c>
      <c r="I7">
        <v>0</v>
      </c>
      <c r="J7">
        <v>0</v>
      </c>
      <c r="K7">
        <v>2.6119919999999999</v>
      </c>
      <c r="L7">
        <v>1.279083</v>
      </c>
      <c r="M7">
        <v>0.7835143</v>
      </c>
      <c r="N7">
        <v>0</v>
      </c>
      <c r="O7">
        <v>0</v>
      </c>
      <c r="P7" t="s">
        <v>18</v>
      </c>
    </row>
    <row r="8" spans="1:16" x14ac:dyDescent="0.3">
      <c r="A8">
        <v>7</v>
      </c>
      <c r="B8" t="s">
        <v>29</v>
      </c>
      <c r="C8" t="s">
        <v>30</v>
      </c>
      <c r="D8">
        <v>1.6928000000000001</v>
      </c>
      <c r="E8">
        <v>-1.1527270000000001</v>
      </c>
      <c r="F8">
        <v>1.2396739999999999</v>
      </c>
      <c r="G8">
        <v>1.296195</v>
      </c>
      <c r="H8">
        <v>-23.25123</v>
      </c>
      <c r="I8">
        <v>0</v>
      </c>
      <c r="J8">
        <v>0</v>
      </c>
      <c r="K8">
        <v>0.30317319999999998</v>
      </c>
      <c r="L8">
        <v>0.54333500000000001</v>
      </c>
      <c r="M8">
        <v>0.2536313</v>
      </c>
      <c r="N8">
        <v>0</v>
      </c>
      <c r="O8">
        <v>0</v>
      </c>
      <c r="P8" t="s">
        <v>18</v>
      </c>
    </row>
    <row r="9" spans="1:16" x14ac:dyDescent="0.3">
      <c r="A9">
        <v>7</v>
      </c>
      <c r="B9" t="s">
        <v>32</v>
      </c>
      <c r="C9" t="s">
        <v>33</v>
      </c>
      <c r="D9">
        <v>9.2816700000000001</v>
      </c>
      <c r="E9">
        <v>4.8357200000000002</v>
      </c>
      <c r="F9">
        <v>7.9224490000000003</v>
      </c>
      <c r="G9">
        <v>0</v>
      </c>
      <c r="H9">
        <v>-18.149799999999999</v>
      </c>
      <c r="I9">
        <v>0</v>
      </c>
      <c r="J9">
        <v>0</v>
      </c>
      <c r="K9">
        <v>0</v>
      </c>
      <c r="L9">
        <v>0.52310179999999995</v>
      </c>
      <c r="M9">
        <v>0.26852690000000001</v>
      </c>
      <c r="N9">
        <v>1</v>
      </c>
      <c r="O9">
        <v>0</v>
      </c>
      <c r="P9" t="s">
        <v>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8"/>
  <sheetViews>
    <sheetView workbookViewId="0">
      <selection activeCell="D1" sqref="D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3</v>
      </c>
      <c r="B2" t="s">
        <v>16</v>
      </c>
      <c r="C2" t="s">
        <v>17</v>
      </c>
      <c r="D2">
        <v>0.87817909999999999</v>
      </c>
      <c r="E2">
        <v>-1.6036990000000001E-2</v>
      </c>
      <c r="F2">
        <v>0.8780327</v>
      </c>
      <c r="G2">
        <v>2.0710500000000001</v>
      </c>
      <c r="H2">
        <v>-8.6410309999999999</v>
      </c>
      <c r="I2">
        <v>0</v>
      </c>
      <c r="J2">
        <v>0</v>
      </c>
      <c r="K2">
        <v>7.3528930000000006E-2</v>
      </c>
      <c r="L2">
        <v>0.55198670000000005</v>
      </c>
      <c r="M2">
        <v>0.36963390000000002</v>
      </c>
      <c r="N2">
        <v>0</v>
      </c>
      <c r="O2">
        <v>0</v>
      </c>
      <c r="P2" t="s">
        <v>18</v>
      </c>
    </row>
    <row r="3" spans="1:16" x14ac:dyDescent="0.3">
      <c r="A3">
        <v>3</v>
      </c>
      <c r="B3" t="s">
        <v>19</v>
      </c>
      <c r="C3" t="s">
        <v>20</v>
      </c>
      <c r="D3">
        <v>0.94617850000000003</v>
      </c>
      <c r="E3">
        <v>0.165741</v>
      </c>
      <c r="F3">
        <v>-0.93154910000000002</v>
      </c>
      <c r="G3">
        <v>2.5003799999999998</v>
      </c>
      <c r="H3">
        <v>-8.8889519999999997</v>
      </c>
      <c r="I3">
        <v>0</v>
      </c>
      <c r="J3">
        <v>0</v>
      </c>
      <c r="K3">
        <v>0.2106179</v>
      </c>
      <c r="L3">
        <v>0.53546139999999998</v>
      </c>
      <c r="M3">
        <v>0.29289369999999998</v>
      </c>
      <c r="N3">
        <v>0</v>
      </c>
      <c r="O3">
        <v>0</v>
      </c>
      <c r="P3" t="s">
        <v>18</v>
      </c>
    </row>
    <row r="4" spans="1:16" x14ac:dyDescent="0.3">
      <c r="A4">
        <v>3</v>
      </c>
      <c r="B4" t="s">
        <v>21</v>
      </c>
      <c r="C4" t="s">
        <v>22</v>
      </c>
      <c r="D4">
        <v>1.058395</v>
      </c>
      <c r="E4">
        <v>1.0507200000000001</v>
      </c>
      <c r="F4">
        <v>-0.1272278</v>
      </c>
      <c r="G4">
        <v>2.1127739999999999</v>
      </c>
      <c r="H4">
        <v>-7.7806389999999999</v>
      </c>
      <c r="I4">
        <v>0</v>
      </c>
      <c r="J4">
        <v>0</v>
      </c>
      <c r="K4">
        <v>1.082025</v>
      </c>
      <c r="L4">
        <v>0.54595950000000004</v>
      </c>
      <c r="M4">
        <v>0.34776279999999998</v>
      </c>
      <c r="N4">
        <v>0</v>
      </c>
      <c r="O4">
        <v>0</v>
      </c>
      <c r="P4" t="s">
        <v>18</v>
      </c>
    </row>
    <row r="5" spans="1:16" x14ac:dyDescent="0.3">
      <c r="A5">
        <v>3</v>
      </c>
      <c r="B5" t="s">
        <v>23</v>
      </c>
      <c r="C5" t="s">
        <v>24</v>
      </c>
      <c r="D5">
        <v>0.79702839999999997</v>
      </c>
      <c r="E5">
        <v>-0.78573610000000005</v>
      </c>
      <c r="F5">
        <v>-0.1336899</v>
      </c>
      <c r="G5">
        <v>2.3013520000000001</v>
      </c>
      <c r="H5">
        <v>-8.9790109999999999</v>
      </c>
      <c r="I5">
        <v>0</v>
      </c>
      <c r="J5">
        <v>0</v>
      </c>
      <c r="K5">
        <v>1.246279E-2</v>
      </c>
      <c r="L5">
        <v>0.53112789999999999</v>
      </c>
      <c r="M5">
        <v>0.2728486</v>
      </c>
      <c r="N5">
        <v>0</v>
      </c>
      <c r="O5">
        <v>0</v>
      </c>
      <c r="P5" t="s">
        <v>18</v>
      </c>
    </row>
    <row r="6" spans="1:16" x14ac:dyDescent="0.3">
      <c r="A6">
        <v>3</v>
      </c>
      <c r="B6" t="s">
        <v>25</v>
      </c>
      <c r="C6" t="s">
        <v>26</v>
      </c>
      <c r="D6">
        <v>0.85992400000000002</v>
      </c>
      <c r="E6">
        <v>0.73020940000000001</v>
      </c>
      <c r="F6">
        <v>-0.45416260000000003</v>
      </c>
      <c r="G6">
        <v>1.8783939999999999</v>
      </c>
      <c r="H6">
        <v>-9.3937550000000005</v>
      </c>
      <c r="I6">
        <v>0</v>
      </c>
      <c r="J6">
        <v>0</v>
      </c>
      <c r="K6">
        <v>0.71206999999999998</v>
      </c>
      <c r="L6">
        <v>0.81300349999999999</v>
      </c>
      <c r="M6">
        <v>0.99513940000000001</v>
      </c>
      <c r="N6">
        <v>0</v>
      </c>
      <c r="O6">
        <v>0</v>
      </c>
      <c r="P6" t="s">
        <v>18</v>
      </c>
    </row>
    <row r="7" spans="1:16" x14ac:dyDescent="0.3">
      <c r="A7">
        <v>3</v>
      </c>
      <c r="B7" t="s">
        <v>27</v>
      </c>
      <c r="C7" t="s">
        <v>28</v>
      </c>
      <c r="D7">
        <v>1.547793</v>
      </c>
      <c r="E7">
        <v>1.5294270000000001</v>
      </c>
      <c r="F7">
        <v>0.2377319</v>
      </c>
      <c r="G7">
        <v>1.478858</v>
      </c>
      <c r="H7">
        <v>-10.10576</v>
      </c>
      <c r="I7">
        <v>0</v>
      </c>
      <c r="J7">
        <v>0</v>
      </c>
      <c r="K7">
        <v>0.50560689999999997</v>
      </c>
      <c r="L7">
        <v>1.407135</v>
      </c>
      <c r="M7">
        <v>0.5251131</v>
      </c>
      <c r="N7">
        <v>0</v>
      </c>
      <c r="O7">
        <v>0</v>
      </c>
      <c r="P7" t="s">
        <v>18</v>
      </c>
    </row>
    <row r="8" spans="1:16" x14ac:dyDescent="0.3">
      <c r="A8">
        <v>3</v>
      </c>
      <c r="B8" t="s">
        <v>29</v>
      </c>
      <c r="C8" t="s">
        <v>30</v>
      </c>
      <c r="D8">
        <v>0.81683110000000003</v>
      </c>
      <c r="E8">
        <v>-0.1816072</v>
      </c>
      <c r="F8">
        <v>-0.7963867</v>
      </c>
      <c r="G8">
        <v>2.298851</v>
      </c>
      <c r="H8">
        <v>-7.9366849999999998</v>
      </c>
      <c r="I8">
        <v>0</v>
      </c>
      <c r="J8">
        <v>0</v>
      </c>
      <c r="K8">
        <v>0.21526329999999999</v>
      </c>
      <c r="L8">
        <v>0.55465699999999996</v>
      </c>
      <c r="M8">
        <v>0.30032249999999999</v>
      </c>
      <c r="N8">
        <v>0</v>
      </c>
      <c r="O8">
        <v>0</v>
      </c>
      <c r="P8" t="s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6E4D-BEDD-4B7E-9A01-522C385A606D}">
  <dimension ref="A1:N21"/>
  <sheetViews>
    <sheetView tabSelected="1" topLeftCell="E1" zoomScale="85" zoomScaleNormal="85" workbookViewId="0">
      <selection activeCell="N1" sqref="N1:N16"/>
    </sheetView>
  </sheetViews>
  <sheetFormatPr defaultRowHeight="14.4" x14ac:dyDescent="0.3"/>
  <cols>
    <col min="1" max="1" width="20.77734375" customWidth="1"/>
    <col min="2" max="13" width="25.6640625" customWidth="1"/>
  </cols>
  <sheetData>
    <row r="1" spans="1:14" x14ac:dyDescent="0.3">
      <c r="A1" s="2" t="s">
        <v>83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0" t="s">
        <v>103</v>
      </c>
    </row>
    <row r="2" spans="1:14" x14ac:dyDescent="0.3">
      <c r="A2" s="3" t="s">
        <v>84</v>
      </c>
      <c r="B2">
        <f>AVERAGE(AlexVargas!D:D)</f>
        <v>0.63895394285714302</v>
      </c>
      <c r="C2">
        <f>AVERAGE(AlexVargas!E:E)</f>
        <v>0.26532339999999993</v>
      </c>
      <c r="D2">
        <f>AVERAGE(AlexVargas!F:F)</f>
        <v>-0.28832568571428574</v>
      </c>
      <c r="E2">
        <f>AVERAGE(AlexVargas!G:G)</f>
        <v>2.3145688571428571</v>
      </c>
      <c r="F2">
        <f>AVERAGE(AlexVargas!H:H)</f>
        <v>-17.718455714285717</v>
      </c>
      <c r="G2">
        <f>AVERAGE(AlexVargas!I:I)</f>
        <v>0</v>
      </c>
      <c r="H2">
        <f>AVERAGE(AlexVargas!J:J)</f>
        <v>0</v>
      </c>
      <c r="I2">
        <f>AVERAGE(AlexVargas!K:K)</f>
        <v>1.0983279285714287</v>
      </c>
      <c r="J2">
        <f>AVERAGE(AlexVargas!L:L)</f>
        <v>1.2608031857142856</v>
      </c>
      <c r="K2">
        <f>AVERAGE(AlexVargas!M:M)</f>
        <v>3.996854914285715</v>
      </c>
      <c r="L2">
        <f>AVERAGE(AlexVargas!N:N)</f>
        <v>0</v>
      </c>
      <c r="M2">
        <f>AVERAGE(AlexVargas!O:O)</f>
        <v>0</v>
      </c>
      <c r="N2">
        <v>0</v>
      </c>
    </row>
    <row r="3" spans="1:14" x14ac:dyDescent="0.3">
      <c r="A3" s="3" t="s">
        <v>85</v>
      </c>
      <c r="B3">
        <f>AVERAGE(AntoFlores!D:D)</f>
        <v>2.4509319500000002</v>
      </c>
      <c r="C3">
        <f>AVERAGE(AntoFlores!E:E)</f>
        <v>1.1515255500000001</v>
      </c>
      <c r="D3">
        <f>AVERAGE(AntoFlores!F:F)</f>
        <v>2.0422429050000002</v>
      </c>
      <c r="E3">
        <f>AVERAGE(AntoFlores!G:G)</f>
        <v>1.62519225</v>
      </c>
      <c r="F3">
        <f>AVERAGE(AntoFlores!H:H)</f>
        <v>-12.271728250000001</v>
      </c>
      <c r="G3">
        <f>AVERAGE(AntoFlores!I:I)</f>
        <v>0</v>
      </c>
      <c r="H3">
        <f>AVERAGE(AntoFlores!J:J)</f>
        <v>0</v>
      </c>
      <c r="I3">
        <f>AVERAGE(AntoFlores!K:K)</f>
        <v>0.61228003875000003</v>
      </c>
      <c r="J3">
        <f>AVERAGE(AntoFlores!L:L)</f>
        <v>0.76770779999999994</v>
      </c>
      <c r="K3">
        <f>AVERAGE(AntoFlores!M:M)</f>
        <v>0.93550358749999996</v>
      </c>
      <c r="L3">
        <f>AVERAGE(AntoFlores!N:N)</f>
        <v>0.375</v>
      </c>
      <c r="M3">
        <f>AVERAGE(AntoFlores!O:O)</f>
        <v>0</v>
      </c>
      <c r="N3">
        <v>0</v>
      </c>
    </row>
    <row r="4" spans="1:14" x14ac:dyDescent="0.3">
      <c r="A4" s="3" t="s">
        <v>86</v>
      </c>
      <c r="B4">
        <f>AVERAGE(BenjaCarrasco!D:D)</f>
        <v>1.4282694375</v>
      </c>
      <c r="C4">
        <f>AVERAGE(BenjaCarrasco!E:E)</f>
        <v>1.1060298012500003</v>
      </c>
      <c r="D4">
        <f>AVERAGE(BenjaCarrasco!F:F)</f>
        <v>0.38569023750000003</v>
      </c>
      <c r="E4">
        <f>AVERAGE(BenjaCarrasco!G:G)</f>
        <v>1.7158116925</v>
      </c>
      <c r="F4">
        <f>AVERAGE(BenjaCarrasco!H:H)</f>
        <v>-15.68670375</v>
      </c>
      <c r="G4">
        <f>AVERAGE(BenjaCarrasco!I:I)</f>
        <v>0</v>
      </c>
      <c r="H4">
        <f>AVERAGE(BenjaCarrasco!J:J)</f>
        <v>0</v>
      </c>
      <c r="I4">
        <f>AVERAGE(BenjaCarrasco!K:K)</f>
        <v>0.41404931250000004</v>
      </c>
      <c r="J4">
        <f>AVERAGE(BenjaCarrasco!L:L)</f>
        <v>0.84598149999999994</v>
      </c>
      <c r="K4">
        <f>AVERAGE(BenjaCarrasco!M:M)</f>
        <v>3.3040165875</v>
      </c>
      <c r="L4">
        <f>AVERAGE(BenjaCarrasco!N:N)</f>
        <v>0.25</v>
      </c>
      <c r="M4">
        <f>AVERAGE(BenjaCarrasco!O:O)</f>
        <v>0.25</v>
      </c>
      <c r="N4">
        <v>0</v>
      </c>
    </row>
    <row r="5" spans="1:14" x14ac:dyDescent="0.3">
      <c r="A5" s="3" t="s">
        <v>87</v>
      </c>
      <c r="B5">
        <f>AVERAGE(CamilaCarrascoBaier!D:D)</f>
        <v>2.8526182366666664</v>
      </c>
      <c r="C5">
        <f>AVERAGE(CamilaCarrascoBaier!E:E)</f>
        <v>-0.1071722813333333</v>
      </c>
      <c r="D5">
        <f>AVERAGE(CamilaCarrascoBaier!F:F)</f>
        <v>3.6937306666666697E-2</v>
      </c>
      <c r="E5">
        <f>AVERAGE(CamilaCarrascoBaier!G:G)</f>
        <v>0.89941829333333334</v>
      </c>
      <c r="F5">
        <f>AVERAGE(CamilaCarrascoBaier!H:H)</f>
        <v>-10.616541966666666</v>
      </c>
      <c r="G5">
        <f>AVERAGE(CamilaCarrascoBaier!I:I)</f>
        <v>0</v>
      </c>
      <c r="H5">
        <f>AVERAGE(CamilaCarrascoBaier!J:J)</f>
        <v>0.23333333333333334</v>
      </c>
      <c r="I5">
        <f>AVERAGE(CamilaCarrascoBaier!K:K)</f>
        <v>1.1979944463333336</v>
      </c>
      <c r="J5">
        <f>AVERAGE(CamilaCarrascoBaier!L:L)</f>
        <v>0.62394914333333351</v>
      </c>
      <c r="K5">
        <f>AVERAGE(CamilaCarrascoBaier!M:M)</f>
        <v>1.6189565166666666</v>
      </c>
      <c r="L5">
        <f>AVERAGE(CamilaCarrascoBaier!N:N)</f>
        <v>0.33333333333333331</v>
      </c>
      <c r="M5">
        <f>AVERAGE(CamilaCarrascoBaier!O:O)</f>
        <v>0.26666666666666666</v>
      </c>
      <c r="N5">
        <v>0</v>
      </c>
    </row>
    <row r="6" spans="1:14" x14ac:dyDescent="0.3">
      <c r="A6" s="3" t="s">
        <v>88</v>
      </c>
      <c r="B6">
        <f>AVERAGE(CataAguilar!D:D)</f>
        <v>3.777713298039215</v>
      </c>
      <c r="C6">
        <f>AVERAGE(CataAguilar!E:E)</f>
        <v>1.250324376470588</v>
      </c>
      <c r="D6">
        <f>AVERAGE(CataAguilar!F:F)</f>
        <v>0.77751225941176516</v>
      </c>
      <c r="E6">
        <f>AVERAGE(CataAguilar!G:G)</f>
        <v>0.79143032156862758</v>
      </c>
      <c r="F6">
        <f>AVERAGE(CataAguilar!H:H)</f>
        <v>-17.188126882352936</v>
      </c>
      <c r="G6">
        <f>AVERAGE(CataAguilar!I:I)</f>
        <v>0</v>
      </c>
      <c r="H6">
        <f>AVERAGE(CataAguilar!J:J)</f>
        <v>0.45098039215686275</v>
      </c>
      <c r="I6">
        <f>AVERAGE(CataAguilar!K:K)</f>
        <v>2.277385171960784</v>
      </c>
      <c r="J6">
        <f>AVERAGE(CataAguilar!L:L)</f>
        <v>0.49718042941176477</v>
      </c>
      <c r="K6">
        <f>AVERAGE(CataAguilar!M:M)</f>
        <v>0.64507039803921584</v>
      </c>
      <c r="L6">
        <f>AVERAGE(CataAguilar!N:N)</f>
        <v>0.45098039215686275</v>
      </c>
      <c r="M6">
        <f>AVERAGE(CataAguilar!O:O)</f>
        <v>0.33333333333333331</v>
      </c>
      <c r="N6">
        <v>0</v>
      </c>
    </row>
    <row r="7" spans="1:14" x14ac:dyDescent="0.3">
      <c r="A7" s="3" t="s">
        <v>89</v>
      </c>
      <c r="B7">
        <f>AVERAGE(DiegoContreras!D:D)</f>
        <v>2.2721463000000006</v>
      </c>
      <c r="C7">
        <f>AVERAGE(DiegoContreras!E:E)</f>
        <v>-1.3483137111111112</v>
      </c>
      <c r="D7">
        <f>AVERAGE(DiegoContreras!F:F)</f>
        <v>-1.1600315643333332</v>
      </c>
      <c r="E7">
        <f>AVERAGE(DiegoContreras!G:G)</f>
        <v>1.1175119777777778</v>
      </c>
      <c r="F7">
        <f>AVERAGE(DiegoContreras!H:H)</f>
        <v>-17.389225222222223</v>
      </c>
      <c r="G7">
        <f>AVERAGE(DiegoContreras!I:I)</f>
        <v>0</v>
      </c>
      <c r="H7">
        <f>AVERAGE(DiegoContreras!J:J)</f>
        <v>0.1111111111111111</v>
      </c>
      <c r="I7">
        <f>AVERAGE(DiegoContreras!K:K)</f>
        <v>0.67180379666666679</v>
      </c>
      <c r="J7">
        <f>AVERAGE(DiegoContreras!L:L)</f>
        <v>0.83841958888888901</v>
      </c>
      <c r="K7">
        <f>AVERAGE(DiegoContreras!M:M)</f>
        <v>1.7995435777777777</v>
      </c>
      <c r="L7">
        <f>AVERAGE(DiegoContreras!N:N)</f>
        <v>0.1111111111111111</v>
      </c>
      <c r="M7">
        <f>AVERAGE(DiegoContreras!O:O)</f>
        <v>0.1111111111111111</v>
      </c>
      <c r="N7">
        <v>0</v>
      </c>
    </row>
    <row r="8" spans="1:14" x14ac:dyDescent="0.3">
      <c r="A8" s="3" t="s">
        <v>90</v>
      </c>
      <c r="B8">
        <f>AVERAGE(FranPerez!D:D)</f>
        <v>1.8171542857142857</v>
      </c>
      <c r="C8">
        <f>AVERAGE(FranPerez!E:E)</f>
        <v>0.64588358571428572</v>
      </c>
      <c r="D8">
        <f>AVERAGE(FranPerez!F:F)</f>
        <v>-0.36806711428571426</v>
      </c>
      <c r="E8">
        <f>AVERAGE(FranPerez!G:G)</f>
        <v>1.253018657142857</v>
      </c>
      <c r="F8">
        <f>AVERAGE(FranPerez!H:H)</f>
        <v>-8.7773401428571418</v>
      </c>
      <c r="G8">
        <f>AVERAGE(FranPerez!I:I)</f>
        <v>0</v>
      </c>
      <c r="H8">
        <f>AVERAGE(FranPerez!J:J)</f>
        <v>0.14285714285714285</v>
      </c>
      <c r="I8">
        <f>AVERAGE(FranPerez!K:K)</f>
        <v>0.73113477142857142</v>
      </c>
      <c r="J8">
        <f>AVERAGE(FranPerez!L:L)</f>
        <v>0.69767541428571433</v>
      </c>
      <c r="K8">
        <f>AVERAGE(FranPerez!M:M)</f>
        <v>0.71154732857142855</v>
      </c>
      <c r="L8">
        <f>AVERAGE(FranPerez!N:N)</f>
        <v>0</v>
      </c>
      <c r="M8">
        <f>AVERAGE(FranPerez!O:O)</f>
        <v>0</v>
      </c>
      <c r="N8">
        <v>0</v>
      </c>
    </row>
    <row r="9" spans="1:14" x14ac:dyDescent="0.3">
      <c r="A9" s="3" t="s">
        <v>91</v>
      </c>
      <c r="B9">
        <f>AVERAGE(JoaquinAguilar!D:D)</f>
        <v>2.0518295466666672</v>
      </c>
      <c r="C9">
        <f>AVERAGE(JoaquinAguilar!E:E)</f>
        <v>2.7190528000000037E-2</v>
      </c>
      <c r="D9">
        <f>AVERAGE(JoaquinAguilar!F:F)</f>
        <v>-0.14147643999999998</v>
      </c>
      <c r="E9">
        <f>AVERAGE(JoaquinAguilar!G:G)</f>
        <v>1.2179182333333334</v>
      </c>
      <c r="F9">
        <f>AVERAGE(JoaquinAguilar!H:H)</f>
        <v>-13.004235133333335</v>
      </c>
      <c r="G9">
        <f>AVERAGE(JoaquinAguilar!I:I)</f>
        <v>0</v>
      </c>
      <c r="H9">
        <f>AVERAGE(JoaquinAguilar!J:J)</f>
        <v>6.6666666666666666E-2</v>
      </c>
      <c r="I9">
        <f>AVERAGE(JoaquinAguilar!K:K)</f>
        <v>3.8542324933333334</v>
      </c>
      <c r="J9">
        <f>AVERAGE(JoaquinAguilar!L:L)</f>
        <v>0.67962647999999992</v>
      </c>
      <c r="K9">
        <f>AVERAGE(JoaquinAguilar!M:M)</f>
        <v>1.3207434999999998</v>
      </c>
      <c r="L9">
        <f>AVERAGE(JoaquinAguilar!N:N)</f>
        <v>0.33333333333333331</v>
      </c>
      <c r="M9">
        <f>AVERAGE(JoaquinAguilar!O:O)</f>
        <v>0.2</v>
      </c>
      <c r="N9">
        <v>0</v>
      </c>
    </row>
    <row r="10" spans="1:14" x14ac:dyDescent="0.3">
      <c r="A10" s="3" t="s">
        <v>92</v>
      </c>
      <c r="B10">
        <f>AVERAGE(LourdesArtigas!D:D)</f>
        <v>3.41272522</v>
      </c>
      <c r="C10">
        <f>AVERAGE(LourdesArtigas!E:E)</f>
        <v>0.77786704340000001</v>
      </c>
      <c r="D10">
        <f>AVERAGE(LourdesArtigas!F:F)</f>
        <v>1.2188395159999998</v>
      </c>
      <c r="E10">
        <f>AVERAGE(LourdesArtigas!G:G)</f>
        <v>0.76968681028571417</v>
      </c>
      <c r="F10">
        <f>AVERAGE(LourdesArtigas!H:H)</f>
        <v>-10.996124657142854</v>
      </c>
      <c r="G10">
        <f>AVERAGE(LourdesArtigas!I:I)</f>
        <v>0</v>
      </c>
      <c r="H10">
        <f>AVERAGE(LourdesArtigas!J:J)</f>
        <v>0.14285714285714285</v>
      </c>
      <c r="I10">
        <f>AVERAGE(LourdesArtigas!K:K)</f>
        <v>0.81038817714285716</v>
      </c>
      <c r="J10">
        <f>AVERAGE(LourdesArtigas!L:L)</f>
        <v>0.54817506285714279</v>
      </c>
      <c r="K10">
        <f>AVERAGE(LourdesArtigas!M:M)</f>
        <v>1.8547050714285709</v>
      </c>
      <c r="L10">
        <f>AVERAGE(LourdesArtigas!N:N)</f>
        <v>0.45714285714285713</v>
      </c>
      <c r="M10">
        <f>AVERAGE(LourdesArtigas!O:O)</f>
        <v>0.31428571428571428</v>
      </c>
      <c r="N10">
        <v>0</v>
      </c>
    </row>
    <row r="11" spans="1:14" x14ac:dyDescent="0.3">
      <c r="A11" s="3" t="s">
        <v>93</v>
      </c>
      <c r="B11">
        <f>AVERAGE(Pantrucas!D:D)</f>
        <v>1.873050866666667</v>
      </c>
      <c r="C11">
        <f>AVERAGE(Pantrucas!E:E)</f>
        <v>0.82998594444444451</v>
      </c>
      <c r="D11">
        <f>AVERAGE(Pantrucas!F:F)</f>
        <v>0.49440637777777785</v>
      </c>
      <c r="E11">
        <f>AVERAGE(Pantrucas!G:G)</f>
        <v>1.2794080000000001</v>
      </c>
      <c r="F11">
        <f>AVERAGE(Pantrucas!H:H)</f>
        <v>-8.1079010000000018</v>
      </c>
      <c r="G11">
        <f>AVERAGE(Pantrucas!I:I)</f>
        <v>0</v>
      </c>
      <c r="H11">
        <f>AVERAGE(Pantrucas!J:J)</f>
        <v>0.55555555555555558</v>
      </c>
      <c r="I11">
        <f>AVERAGE(Pantrucas!K:K)</f>
        <v>2.6037074577777779</v>
      </c>
      <c r="J11">
        <f>AVERAGE(Pantrucas!L:L)</f>
        <v>1.0455796777777779</v>
      </c>
      <c r="K11">
        <f>AVERAGE(Pantrucas!M:M)</f>
        <v>2.4673496555555561</v>
      </c>
      <c r="L11">
        <f>AVERAGE(Pantrucas!N:N)</f>
        <v>0.33333333333333331</v>
      </c>
      <c r="M11">
        <f>AVERAGE(Pantrucas!O:O)</f>
        <v>0.22222222222222221</v>
      </c>
      <c r="N11">
        <v>0</v>
      </c>
    </row>
    <row r="12" spans="1:14" x14ac:dyDescent="0.3">
      <c r="A12" s="3" t="s">
        <v>94</v>
      </c>
      <c r="B12">
        <f>AVERAGE(Sepumae!D:D)</f>
        <v>1.8010227571428572</v>
      </c>
      <c r="C12">
        <f>AVERAGE(Sepumae!E:E)</f>
        <v>0.78838805714285709</v>
      </c>
      <c r="D12">
        <f>AVERAGE(Sepumae!F:F)</f>
        <v>0.64577578571428573</v>
      </c>
      <c r="E12">
        <f>AVERAGE(Sepumae!G:G)</f>
        <v>1.3320318714285713</v>
      </c>
      <c r="F12">
        <f>AVERAGE(Sepumae!H:H)</f>
        <v>-11.70065</v>
      </c>
      <c r="G12">
        <f>AVERAGE(Sepumae!I:I)</f>
        <v>0</v>
      </c>
      <c r="H12">
        <f>AVERAGE(Sepumae!J:J)</f>
        <v>0</v>
      </c>
      <c r="I12">
        <f>AVERAGE(Sepumae!K:K)</f>
        <v>0.59592004285714284</v>
      </c>
      <c r="J12">
        <f>AVERAGE(Sepumae!L:L)</f>
        <v>1.6741112857142859</v>
      </c>
      <c r="K12">
        <f>AVERAGE(Sepumae!M:M)</f>
        <v>4.888863999999999</v>
      </c>
      <c r="L12">
        <f>AVERAGE(Sepumae!N:N)</f>
        <v>0.14285714285714285</v>
      </c>
      <c r="M12">
        <f>AVERAGE(Sepumae!O:O)</f>
        <v>0</v>
      </c>
      <c r="N12">
        <v>0</v>
      </c>
    </row>
    <row r="13" spans="1:14" x14ac:dyDescent="0.3">
      <c r="A13" s="3" t="s">
        <v>95</v>
      </c>
      <c r="B13">
        <f>AVERAGE(VicenteFigueroa!D:D)</f>
        <v>1.5653512500000002</v>
      </c>
      <c r="C13">
        <f>AVERAGE(VicenteFigueroa!E:E)</f>
        <v>1.17674495</v>
      </c>
      <c r="D13">
        <f>AVERAGE(VicenteFigueroa!F:F)</f>
        <v>0.36011759000000004</v>
      </c>
      <c r="E13">
        <f>AVERAGE(VicenteFigueroa!G:G)</f>
        <v>1.5108092</v>
      </c>
      <c r="F13">
        <f>AVERAGE(VicenteFigueroa!H:H)</f>
        <v>-13.114388833333335</v>
      </c>
      <c r="G13">
        <f>AVERAGE(VicenteFigueroa!I:I)</f>
        <v>0</v>
      </c>
      <c r="H13">
        <f>AVERAGE(VicenteFigueroa!J:J)</f>
        <v>0</v>
      </c>
      <c r="I13">
        <f>AVERAGE(VicenteFigueroa!K:K)</f>
        <v>0.64048710499999995</v>
      </c>
      <c r="J13">
        <f>AVERAGE(VicenteFigueroa!L:L)</f>
        <v>0.94824224999999995</v>
      </c>
      <c r="K13">
        <f>AVERAGE(VicenteFigueroa!M:M)</f>
        <v>2.5125074000000001</v>
      </c>
      <c r="L13">
        <f>AVERAGE(VicenteFigueroa!N:N)</f>
        <v>0.33333333333333331</v>
      </c>
      <c r="M13">
        <f>AVERAGE(VicenteFigueroa!O:O)</f>
        <v>0.16666666666666666</v>
      </c>
      <c r="N13">
        <v>0</v>
      </c>
    </row>
    <row r="14" spans="1:14" x14ac:dyDescent="0.3">
      <c r="A14" s="3" t="s">
        <v>96</v>
      </c>
      <c r="B14">
        <f>AVERAGE(VicenteHernandez!D:D)</f>
        <v>4.2414565600000005</v>
      </c>
      <c r="C14">
        <f>AVERAGE(VicenteHernandez!E:E)</f>
        <v>2.5997916504999998</v>
      </c>
      <c r="D14">
        <f>AVERAGE(VicenteHernandez!F:F)</f>
        <v>0.73283372499999988</v>
      </c>
      <c r="E14">
        <f>AVERAGE(VicenteHernandez!G:G)</f>
        <v>0.83022137549999986</v>
      </c>
      <c r="F14">
        <f>AVERAGE(VicenteHernandez!H:H)</f>
        <v>-13.813482965</v>
      </c>
      <c r="G14">
        <f>AVERAGE(VicenteHernandez!I:I)</f>
        <v>0</v>
      </c>
      <c r="H14">
        <f>AVERAGE(VicenteHernandez!J:J)</f>
        <v>0.4</v>
      </c>
      <c r="I14">
        <f>AVERAGE(VicenteHernandez!K:K)</f>
        <v>1.4081733299999999</v>
      </c>
      <c r="J14">
        <f>AVERAGE(VicenteHernandez!L:L)</f>
        <v>0.62402042999999996</v>
      </c>
      <c r="K14">
        <f>AVERAGE(VicenteHernandez!M:M)</f>
        <v>1.1892172944999999</v>
      </c>
      <c r="L14">
        <f>AVERAGE(VicenteHernandez!N:N)</f>
        <v>0.35</v>
      </c>
      <c r="M14">
        <f>AVERAGE(VicenteHernandez!O:O)</f>
        <v>0.2</v>
      </c>
      <c r="N14">
        <v>0</v>
      </c>
    </row>
    <row r="15" spans="1:14" x14ac:dyDescent="0.3">
      <c r="A15" s="3" t="s">
        <v>97</v>
      </c>
      <c r="B15">
        <f>AVERAGE(VicenteLineros!D:D)</f>
        <v>2.3861958750000003</v>
      </c>
      <c r="C15">
        <f>AVERAGE(VicenteLineros!E:E)</f>
        <v>0.50410209125000005</v>
      </c>
      <c r="D15">
        <f>AVERAGE(VicenteLineros!F:F)</f>
        <v>1.0424821</v>
      </c>
      <c r="E15">
        <f>AVERAGE(VicenteLineros!G:G)</f>
        <v>1.4658556125</v>
      </c>
      <c r="F15">
        <f>AVERAGE(VicenteLineros!H:H)</f>
        <v>-17.207487499999999</v>
      </c>
      <c r="G15">
        <f>AVERAGE(VicenteLineros!I:I)</f>
        <v>0</v>
      </c>
      <c r="H15">
        <f>AVERAGE(VicenteLineros!J:J)</f>
        <v>0</v>
      </c>
      <c r="I15">
        <f>AVERAGE(VicenteLineros!K:K)</f>
        <v>0.77703197403750002</v>
      </c>
      <c r="J15">
        <f>AVERAGE(VicenteLineros!L:L)</f>
        <v>0.86628335000000001</v>
      </c>
      <c r="K15">
        <f>AVERAGE(VicenteLineros!M:M)</f>
        <v>1.5464784250000001</v>
      </c>
      <c r="L15">
        <f>AVERAGE(VicenteLineros!N:N)</f>
        <v>0.125</v>
      </c>
      <c r="M15">
        <f>AVERAGE(VicenteLineros!O:O)</f>
        <v>0</v>
      </c>
      <c r="N15">
        <v>0</v>
      </c>
    </row>
    <row r="16" spans="1:14" x14ac:dyDescent="0.3">
      <c r="A16" s="3" t="s">
        <v>98</v>
      </c>
      <c r="B16">
        <f>AVERAGE(yoelchupa!D:D)</f>
        <v>0.98633272857142862</v>
      </c>
      <c r="C16">
        <f>AVERAGE(yoelchupa!E:E)</f>
        <v>0.3561024442857143</v>
      </c>
      <c r="D16">
        <f>AVERAGE(yoelchupa!F:F)</f>
        <v>-0.18960735714285715</v>
      </c>
      <c r="E16">
        <f>AVERAGE(yoelchupa!G:G)</f>
        <v>2.0916655714285715</v>
      </c>
      <c r="F16">
        <f>AVERAGE(yoelchupa!H:H)</f>
        <v>-8.8179761428571428</v>
      </c>
      <c r="G16">
        <f>AVERAGE(yoelchupa!I:I)</f>
        <v>0</v>
      </c>
      <c r="H16">
        <f>AVERAGE(yoelchupa!J:J)</f>
        <v>0</v>
      </c>
      <c r="I16">
        <f>AVERAGE(yoelchupa!K:K)</f>
        <v>0.4016535457142858</v>
      </c>
      <c r="J16">
        <f>AVERAGE(yoelchupa!L:L)</f>
        <v>0.70561871428571432</v>
      </c>
      <c r="K16">
        <f>AVERAGE(yoelchupa!M:M)</f>
        <v>0.44338771428571422</v>
      </c>
      <c r="L16">
        <f>AVERAGE(yoelchupa!N:N)</f>
        <v>0</v>
      </c>
      <c r="M16">
        <f>AVERAGE(yoelchupa!O:O)</f>
        <v>0</v>
      </c>
      <c r="N16">
        <v>0</v>
      </c>
    </row>
    <row r="18" spans="1:13" ht="43.2" x14ac:dyDescent="0.3">
      <c r="A18" s="5" t="s">
        <v>99</v>
      </c>
      <c r="B18" s="7">
        <f>_xlfn.PERCENTILE.EXC(B2:B16,0.5)</f>
        <v>2.0518295466666672</v>
      </c>
      <c r="C18" s="7">
        <f t="shared" ref="C18:M18" si="0">_xlfn.PERCENTILE.EXC(C2:C16,0.5)</f>
        <v>0.77786704340000001</v>
      </c>
      <c r="D18" s="7">
        <f t="shared" si="0"/>
        <v>0.38569023750000003</v>
      </c>
      <c r="E18" s="7">
        <f t="shared" si="0"/>
        <v>1.2794080000000001</v>
      </c>
      <c r="F18" s="7">
        <f t="shared" si="0"/>
        <v>-13.004235133333335</v>
      </c>
      <c r="G18" s="7">
        <f t="shared" si="0"/>
        <v>0</v>
      </c>
      <c r="H18" s="7">
        <f t="shared" si="0"/>
        <v>6.6666666666666666E-2</v>
      </c>
      <c r="I18" s="7">
        <f t="shared" si="0"/>
        <v>0.77703197403750002</v>
      </c>
      <c r="J18" s="7">
        <f t="shared" si="0"/>
        <v>0.76770779999999994</v>
      </c>
      <c r="K18" s="7">
        <f t="shared" si="0"/>
        <v>1.6189565166666666</v>
      </c>
      <c r="L18" s="7">
        <f t="shared" si="0"/>
        <v>0.33333333333333331</v>
      </c>
      <c r="M18" s="7">
        <f t="shared" si="0"/>
        <v>0.16666666666666666</v>
      </c>
    </row>
    <row r="19" spans="1:13" ht="57.6" x14ac:dyDescent="0.3">
      <c r="A19" s="6" t="s">
        <v>100</v>
      </c>
      <c r="B19" s="8">
        <f>_xlfn.PERCENTILE.EXC(B2:B16,0.75)</f>
        <v>2.8526182366666664</v>
      </c>
      <c r="C19" s="8">
        <f t="shared" ref="C19:M19" si="1">_xlfn.PERCENTILE.EXC(C2:C16,0.75)</f>
        <v>1.1515255500000001</v>
      </c>
      <c r="D19" s="8">
        <f t="shared" si="1"/>
        <v>0.77751225941176516</v>
      </c>
      <c r="E19" s="8">
        <f t="shared" si="1"/>
        <v>1.62519225</v>
      </c>
      <c r="F19" s="8">
        <f>_xlfn.PERCENTILE.EXC(F2:F16,0.25)</f>
        <v>-17.188126882352936</v>
      </c>
      <c r="G19" s="8">
        <f t="shared" si="1"/>
        <v>0</v>
      </c>
      <c r="H19" s="8">
        <f t="shared" si="1"/>
        <v>0.23333333333333334</v>
      </c>
      <c r="I19" s="8">
        <f t="shared" si="1"/>
        <v>1.4081733299999999</v>
      </c>
      <c r="J19" s="8">
        <f t="shared" si="1"/>
        <v>0.94824224999999995</v>
      </c>
      <c r="K19" s="8">
        <f t="shared" si="1"/>
        <v>2.5125074000000001</v>
      </c>
      <c r="L19" s="8">
        <f t="shared" si="1"/>
        <v>0.35</v>
      </c>
      <c r="M19" s="8">
        <f t="shared" si="1"/>
        <v>0.25</v>
      </c>
    </row>
    <row r="20" spans="1:13" ht="43.2" x14ac:dyDescent="0.3">
      <c r="A20" s="4" t="s">
        <v>101</v>
      </c>
      <c r="B20" s="9">
        <f>_xlfn.PERCENTILE.EXC(B2:B16,0.9)</f>
        <v>3.9632106028235294</v>
      </c>
      <c r="C20" s="9">
        <f t="shared" ref="C20:M20" si="2">_xlfn.PERCENTILE.EXC(C2:C16,0.9)</f>
        <v>1.7901112860823534</v>
      </c>
      <c r="D20" s="9">
        <f t="shared" si="2"/>
        <v>1.5482008716000002</v>
      </c>
      <c r="E20" s="9">
        <f t="shared" si="2"/>
        <v>2.1808268857142856</v>
      </c>
      <c r="F20" s="9">
        <f>_xlfn.PERCENTILE.EXC(F2:F16,0.1)</f>
        <v>-17.52091741904762</v>
      </c>
      <c r="G20" s="9">
        <f t="shared" si="2"/>
        <v>0</v>
      </c>
      <c r="H20" s="9">
        <f t="shared" si="2"/>
        <v>0.49281045751633989</v>
      </c>
      <c r="I20" s="9">
        <f t="shared" si="2"/>
        <v>3.1039174720000005</v>
      </c>
      <c r="J20" s="9">
        <f t="shared" si="2"/>
        <v>1.4261264257142858</v>
      </c>
      <c r="K20" s="9">
        <f t="shared" si="2"/>
        <v>4.3536585485714285</v>
      </c>
      <c r="L20" s="9">
        <f t="shared" si="2"/>
        <v>0.45344537815126051</v>
      </c>
      <c r="M20" s="9">
        <f t="shared" si="2"/>
        <v>0.32190476190476192</v>
      </c>
    </row>
    <row r="21" spans="1:13" x14ac:dyDescent="0.3">
      <c r="F2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AlexVargas</vt:lpstr>
      <vt:lpstr>AntoFlores</vt:lpstr>
      <vt:lpstr>BenjaCarrasco</vt:lpstr>
      <vt:lpstr>CamilaCarrascoBaier</vt:lpstr>
      <vt:lpstr>CataAguilar</vt:lpstr>
      <vt:lpstr>DiegoContreras</vt:lpstr>
      <vt:lpstr>FranPerez</vt:lpstr>
      <vt:lpstr>JoaquinAguilar</vt:lpstr>
      <vt:lpstr>LourdesArtigas</vt:lpstr>
      <vt:lpstr>Pantrucas</vt:lpstr>
      <vt:lpstr>Sepumae</vt:lpstr>
      <vt:lpstr>VicenteFigueroa</vt:lpstr>
      <vt:lpstr>VicenteHernandez</vt:lpstr>
      <vt:lpstr>VicenteLineros</vt:lpstr>
      <vt:lpstr>yoelchupa</vt:lpstr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2026-02-17T00:03:14Z</dcterms:created>
  <dcterms:modified xsi:type="dcterms:W3CDTF">2026-02-17T06:03:40Z</dcterms:modified>
</cp:coreProperties>
</file>