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0E8CCA64-9C7A-4F77-80C0-9A512C1495A1}" xr6:coauthVersionLast="47" xr6:coauthVersionMax="47" xr10:uidLastSave="{00000000-0000-0000-0000-000000000000}"/>
  <bookViews>
    <workbookView xWindow="-108" yWindow="-108" windowWidth="23256" windowHeight="13176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er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6" l="1"/>
  <c r="D20" i="16"/>
  <c r="E20" i="16"/>
  <c r="F20" i="16"/>
  <c r="G20" i="16"/>
  <c r="H20" i="16"/>
  <c r="I20" i="16"/>
  <c r="I19" i="16"/>
  <c r="C19" i="16"/>
  <c r="D19" i="16"/>
  <c r="E19" i="16"/>
  <c r="F19" i="16"/>
  <c r="G19" i="16"/>
  <c r="H19" i="16"/>
  <c r="B20" i="16"/>
  <c r="B19" i="16"/>
  <c r="C18" i="16"/>
  <c r="D18" i="16"/>
  <c r="E18" i="16"/>
  <c r="F18" i="16"/>
  <c r="G18" i="16"/>
  <c r="H18" i="16"/>
  <c r="I18" i="16"/>
  <c r="B18" i="16"/>
  <c r="C15" i="16"/>
  <c r="D15" i="16"/>
  <c r="E15" i="16"/>
  <c r="F15" i="16"/>
  <c r="G15" i="16"/>
  <c r="H15" i="16"/>
  <c r="I15" i="16"/>
  <c r="C14" i="16"/>
  <c r="D14" i="16"/>
  <c r="E14" i="16"/>
  <c r="F14" i="16"/>
  <c r="G14" i="16"/>
  <c r="H14" i="16"/>
  <c r="I14" i="16"/>
  <c r="C13" i="16"/>
  <c r="D13" i="16"/>
  <c r="E13" i="16"/>
  <c r="F13" i="16"/>
  <c r="G13" i="16"/>
  <c r="H13" i="16"/>
  <c r="I13" i="16"/>
  <c r="C12" i="16"/>
  <c r="D12" i="16"/>
  <c r="E12" i="16"/>
  <c r="F12" i="16"/>
  <c r="G12" i="16"/>
  <c r="H12" i="16"/>
  <c r="I12" i="16"/>
  <c r="C11" i="16"/>
  <c r="D11" i="16"/>
  <c r="E11" i="16"/>
  <c r="F11" i="16"/>
  <c r="G11" i="16"/>
  <c r="H11" i="16"/>
  <c r="I11" i="16"/>
  <c r="C10" i="16"/>
  <c r="D10" i="16"/>
  <c r="E10" i="16"/>
  <c r="F10" i="16"/>
  <c r="G10" i="16"/>
  <c r="H10" i="16"/>
  <c r="I10" i="16"/>
  <c r="C7" i="16"/>
  <c r="D7" i="16"/>
  <c r="E7" i="16"/>
  <c r="F7" i="16"/>
  <c r="G7" i="16"/>
  <c r="H7" i="16"/>
  <c r="I7" i="16"/>
  <c r="C6" i="16"/>
  <c r="D6" i="16"/>
  <c r="E6" i="16"/>
  <c r="F6" i="16"/>
  <c r="G6" i="16"/>
  <c r="H6" i="16"/>
  <c r="I6" i="16"/>
  <c r="C5" i="16"/>
  <c r="D5" i="16"/>
  <c r="E5" i="16"/>
  <c r="F5" i="16"/>
  <c r="G5" i="16"/>
  <c r="H5" i="16"/>
  <c r="I5" i="16"/>
  <c r="C4" i="16"/>
  <c r="D4" i="16"/>
  <c r="E4" i="16"/>
  <c r="F4" i="16"/>
  <c r="G4" i="16"/>
  <c r="H4" i="16"/>
  <c r="I4" i="16"/>
  <c r="C3" i="16"/>
  <c r="D3" i="16"/>
  <c r="E3" i="16"/>
  <c r="F3" i="16"/>
  <c r="G3" i="16"/>
  <c r="H3" i="16"/>
  <c r="I3" i="16"/>
  <c r="C2" i="16"/>
  <c r="D2" i="16"/>
  <c r="E2" i="16"/>
  <c r="F2" i="16"/>
  <c r="G2" i="16"/>
  <c r="H2" i="16"/>
  <c r="I2" i="16"/>
  <c r="B15" i="16"/>
  <c r="B14" i="16"/>
  <c r="B13" i="16"/>
  <c r="B12" i="16"/>
  <c r="B11" i="16"/>
  <c r="B10" i="16"/>
  <c r="B7" i="16"/>
  <c r="B6" i="16"/>
  <c r="B5" i="16"/>
  <c r="B4" i="16"/>
  <c r="B3" i="16"/>
  <c r="B2" i="16"/>
  <c r="C16" i="16"/>
  <c r="D16" i="16"/>
  <c r="E16" i="16"/>
  <c r="F16" i="16"/>
  <c r="G16" i="16"/>
  <c r="H16" i="16"/>
  <c r="I16" i="16"/>
  <c r="B16" i="16"/>
</calcChain>
</file>

<file path=xl/sharedStrings.xml><?xml version="1.0" encoding="utf-8"?>
<sst xmlns="http://schemas.openxmlformats.org/spreadsheetml/2006/main" count="178" uniqueCount="30">
  <si>
    <t>AttemptID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</si>
  <si>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</si>
  <si>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</si>
  <si>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</si>
  <si>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</si>
  <si>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</si>
  <si>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</si>
  <si>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</si>
  <si>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</si>
  <si>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</si>
  <si>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</si>
  <si>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</si>
  <si>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</si>
  <si>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</si>
  <si>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</si>
  <si>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</si>
  <si>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</si>
  <si>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</si>
  <si>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</si>
  <si>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</si>
  <si>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</si>
  <si>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</si>
  <si>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</si>
  <si>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</si>
  <si>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</si>
  <si>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</si>
  <si>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</si>
  <si>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</si>
  <si>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</si>
  <si>
    <t>AbandonoPilar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</si>
</sst>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27</v>
      </c>
      <c r="B2">
        <v>1</v>
      </c>
      <c r="C2">
        <v>6.742</v>
      </c>
      <c r="D2">
        <v>38.14</v>
      </c>
      <c r="E2">
        <v>0.314</v>
      </c>
      <c r="F2">
        <v>1</v>
      </c>
      <c r="G2">
        <v>12.3855</v>
      </c>
      <c r="H2">
        <v>5.0030000000000001</v>
      </c>
      <c r="I2">
        <v>4.4497999999999998</v>
      </c>
      <c r="J2">
        <v>0</v>
      </c>
    </row>
    <row r="3" spans="1:10" x14ac:dyDescent="0.3">
      <c r="A3">
        <v>28</v>
      </c>
      <c r="B3">
        <v>1</v>
      </c>
      <c r="C3">
        <v>11.358000000000001</v>
      </c>
      <c r="D3">
        <v>22.716000000000001</v>
      </c>
      <c r="E3">
        <v>0.41599999999999998</v>
      </c>
      <c r="F3">
        <v>1</v>
      </c>
      <c r="G3">
        <v>8.9896999999999991</v>
      </c>
      <c r="H3">
        <v>4.3270999999999997</v>
      </c>
      <c r="I3">
        <v>5.6348000000000003</v>
      </c>
      <c r="J3">
        <v>7.6999999999999999E-2</v>
      </c>
    </row>
    <row r="4" spans="1:10" x14ac:dyDescent="0.3">
      <c r="A4">
        <v>29</v>
      </c>
      <c r="B4">
        <v>1</v>
      </c>
      <c r="C4">
        <v>23.696000000000002</v>
      </c>
      <c r="D4">
        <v>33.238</v>
      </c>
      <c r="E4">
        <v>0.81200000000000006</v>
      </c>
      <c r="F4">
        <v>1</v>
      </c>
      <c r="G4">
        <v>12.0159</v>
      </c>
      <c r="H4">
        <v>4.9016999999999999</v>
      </c>
      <c r="I4">
        <v>6.4566999999999997</v>
      </c>
      <c r="J4">
        <v>0.38500000000000001</v>
      </c>
    </row>
    <row r="5" spans="1:10" x14ac:dyDescent="0.3">
      <c r="A5">
        <v>30</v>
      </c>
      <c r="B5">
        <v>1</v>
      </c>
      <c r="C5">
        <v>26.327999999999999</v>
      </c>
      <c r="D5">
        <v>37.671999999999997</v>
      </c>
      <c r="E5">
        <v>0.996</v>
      </c>
      <c r="F5">
        <v>1</v>
      </c>
      <c r="G5">
        <v>9.7904999999999998</v>
      </c>
      <c r="H5">
        <v>5.2742000000000004</v>
      </c>
      <c r="I5">
        <v>5.3175999999999997</v>
      </c>
      <c r="J5">
        <v>0.23100000000000001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</v>
      </c>
      <c r="B2">
        <v>1</v>
      </c>
      <c r="C2">
        <v>17.501999999999999</v>
      </c>
      <c r="D2">
        <v>85.713999999999999</v>
      </c>
      <c r="E2">
        <v>0.60299999999999998</v>
      </c>
      <c r="F2">
        <v>1</v>
      </c>
      <c r="G2">
        <v>8.7849000000000004</v>
      </c>
      <c r="H2">
        <v>4.8765000000000001</v>
      </c>
      <c r="I2">
        <v>0.51419999999999999</v>
      </c>
      <c r="J2">
        <v>0.154</v>
      </c>
    </row>
    <row r="3" spans="1:10" x14ac:dyDescent="0.3">
      <c r="A3">
        <v>5</v>
      </c>
      <c r="B3">
        <v>1</v>
      </c>
      <c r="C3">
        <v>25.96</v>
      </c>
      <c r="D3">
        <v>36.177999999999997</v>
      </c>
      <c r="E3">
        <v>1</v>
      </c>
      <c r="F3">
        <v>0</v>
      </c>
      <c r="G3">
        <v>9.4946000000000002</v>
      </c>
      <c r="H3">
        <v>4.6231999999999998</v>
      </c>
      <c r="I3">
        <v>1.4253</v>
      </c>
      <c r="J3">
        <v>0.38500000000000001</v>
      </c>
    </row>
    <row r="4" spans="1:10" x14ac:dyDescent="0.3">
      <c r="A4">
        <v>5</v>
      </c>
      <c r="B4">
        <v>2</v>
      </c>
      <c r="C4">
        <v>14.028</v>
      </c>
      <c r="D4">
        <v>64.126000000000005</v>
      </c>
      <c r="E4">
        <v>0.57699999999999996</v>
      </c>
      <c r="F4">
        <v>1</v>
      </c>
      <c r="G4">
        <v>8.5578000000000003</v>
      </c>
      <c r="H4">
        <v>2.7801999999999998</v>
      </c>
      <c r="I4">
        <v>7.1300000000000002E-2</v>
      </c>
      <c r="J4">
        <v>0</v>
      </c>
    </row>
    <row r="5" spans="1:10" x14ac:dyDescent="0.3">
      <c r="A5">
        <v>6</v>
      </c>
      <c r="B5">
        <v>1</v>
      </c>
      <c r="C5">
        <v>24.292999999999999</v>
      </c>
      <c r="D5">
        <v>37.825000000000003</v>
      </c>
      <c r="E5">
        <v>0.80900000000000005</v>
      </c>
      <c r="F5">
        <v>1</v>
      </c>
      <c r="G5">
        <v>9.0844000000000005</v>
      </c>
      <c r="H5">
        <v>4.8384999999999998</v>
      </c>
      <c r="I5">
        <v>1.3996</v>
      </c>
      <c r="J5">
        <v>0.46200000000000002</v>
      </c>
    </row>
    <row r="6" spans="1:10" x14ac:dyDescent="0.3">
      <c r="A6">
        <v>7</v>
      </c>
      <c r="B6">
        <v>1</v>
      </c>
      <c r="C6">
        <v>18.981000000000002</v>
      </c>
      <c r="D6">
        <v>31.228000000000002</v>
      </c>
      <c r="E6">
        <v>0.64700000000000002</v>
      </c>
      <c r="F6">
        <v>1</v>
      </c>
      <c r="G6">
        <v>8.0471000000000004</v>
      </c>
      <c r="H6">
        <v>4.2629999999999999</v>
      </c>
      <c r="I6">
        <v>1.4225000000000001</v>
      </c>
      <c r="J6">
        <v>0.23100000000000001</v>
      </c>
    </row>
    <row r="7" spans="1:10" x14ac:dyDescent="0.3">
      <c r="A7">
        <v>8</v>
      </c>
      <c r="B7">
        <v>1</v>
      </c>
      <c r="C7">
        <v>16.056999999999999</v>
      </c>
      <c r="D7">
        <v>26.856999999999999</v>
      </c>
      <c r="E7">
        <v>0.60599999999999998</v>
      </c>
      <c r="F7">
        <v>1</v>
      </c>
      <c r="G7">
        <v>10.0321</v>
      </c>
      <c r="H7">
        <v>4.7205000000000004</v>
      </c>
      <c r="I7">
        <v>1.8061</v>
      </c>
      <c r="J7">
        <v>0.23100000000000001</v>
      </c>
    </row>
    <row r="8" spans="1:10" x14ac:dyDescent="0.3">
      <c r="A8">
        <v>9</v>
      </c>
      <c r="B8">
        <v>1</v>
      </c>
      <c r="C8">
        <v>25.643000000000001</v>
      </c>
      <c r="D8">
        <v>35.886000000000003</v>
      </c>
      <c r="E8">
        <v>1</v>
      </c>
      <c r="F8">
        <v>1</v>
      </c>
      <c r="G8">
        <v>9.9943000000000008</v>
      </c>
      <c r="H8">
        <v>4.5197000000000003</v>
      </c>
      <c r="I8">
        <v>3.1198000000000001</v>
      </c>
      <c r="J8">
        <v>0.38500000000000001</v>
      </c>
    </row>
    <row r="9" spans="1:10" x14ac:dyDescent="0.3">
      <c r="A9">
        <v>10</v>
      </c>
      <c r="B9">
        <v>1</v>
      </c>
      <c r="C9">
        <v>38.161999999999999</v>
      </c>
      <c r="D9">
        <v>49.999000000000002</v>
      </c>
      <c r="E9">
        <v>0.76</v>
      </c>
      <c r="F9">
        <v>1</v>
      </c>
      <c r="G9">
        <v>17.3157</v>
      </c>
      <c r="H9">
        <v>6.9081999999999999</v>
      </c>
      <c r="I9">
        <v>1.3626</v>
      </c>
      <c r="J9">
        <v>0.38500000000000001</v>
      </c>
    </row>
    <row r="10" spans="1:10" x14ac:dyDescent="0.3">
      <c r="A10">
        <v>11</v>
      </c>
      <c r="B10">
        <v>1</v>
      </c>
      <c r="C10">
        <v>25.395</v>
      </c>
      <c r="D10">
        <v>38.853000000000002</v>
      </c>
      <c r="E10">
        <v>0.76</v>
      </c>
      <c r="F10">
        <v>1</v>
      </c>
      <c r="G10">
        <v>10.664199999999999</v>
      </c>
      <c r="H10">
        <v>3.6991999999999998</v>
      </c>
      <c r="I10">
        <v>2.6777000000000002</v>
      </c>
      <c r="J10">
        <v>0.46200000000000002</v>
      </c>
    </row>
    <row r="11" spans="1:10" x14ac:dyDescent="0.3">
      <c r="A11">
        <v>12</v>
      </c>
      <c r="B11">
        <v>1</v>
      </c>
      <c r="C11">
        <v>26.385000000000002</v>
      </c>
      <c r="D11">
        <v>37.689</v>
      </c>
      <c r="E11">
        <v>0.85799999999999998</v>
      </c>
      <c r="F11">
        <v>1</v>
      </c>
      <c r="G11">
        <v>9.2446000000000002</v>
      </c>
      <c r="H11">
        <v>3.3813</v>
      </c>
      <c r="I11">
        <v>2.274</v>
      </c>
      <c r="J11">
        <v>0.308</v>
      </c>
    </row>
    <row r="12" spans="1:10" x14ac:dyDescent="0.3">
      <c r="A12">
        <v>13</v>
      </c>
      <c r="B12">
        <v>1</v>
      </c>
      <c r="C12">
        <v>14.253</v>
      </c>
      <c r="D12">
        <v>24.968</v>
      </c>
      <c r="E12">
        <v>0.54800000000000004</v>
      </c>
      <c r="F12">
        <v>1</v>
      </c>
      <c r="G12">
        <v>9.4343000000000004</v>
      </c>
      <c r="H12">
        <v>3.8056999999999999</v>
      </c>
      <c r="I12">
        <v>2.8767</v>
      </c>
      <c r="J12">
        <v>7.6999999999999999E-2</v>
      </c>
    </row>
    <row r="13" spans="1:10" x14ac:dyDescent="0.3">
      <c r="A13">
        <v>15</v>
      </c>
      <c r="B13">
        <v>1</v>
      </c>
      <c r="C13">
        <v>10.262</v>
      </c>
      <c r="D13">
        <v>19.759</v>
      </c>
      <c r="E13">
        <v>0.505</v>
      </c>
      <c r="F13">
        <v>1</v>
      </c>
      <c r="G13">
        <v>8.7728999999999999</v>
      </c>
      <c r="H13">
        <v>3.0350000000000001</v>
      </c>
      <c r="I13">
        <v>3.6055000000000001</v>
      </c>
      <c r="J13">
        <v>7.6999999999999999E-2</v>
      </c>
    </row>
    <row r="14" spans="1:10" x14ac:dyDescent="0.3">
      <c r="A14">
        <v>16</v>
      </c>
      <c r="B14">
        <v>1</v>
      </c>
      <c r="C14">
        <v>26.14</v>
      </c>
      <c r="D14">
        <v>35.218000000000004</v>
      </c>
      <c r="E14">
        <v>1</v>
      </c>
      <c r="F14">
        <v>0</v>
      </c>
      <c r="G14">
        <v>7.5796999999999999</v>
      </c>
      <c r="H14">
        <v>4.4081999999999999</v>
      </c>
      <c r="I14">
        <v>2.9457</v>
      </c>
      <c r="J14">
        <v>0.38500000000000001</v>
      </c>
    </row>
    <row r="15" spans="1:10" x14ac:dyDescent="0.3">
      <c r="A15">
        <v>16</v>
      </c>
      <c r="B15">
        <v>2</v>
      </c>
      <c r="C15">
        <v>18.344999999999999</v>
      </c>
      <c r="D15">
        <v>68.263000000000005</v>
      </c>
      <c r="E15">
        <v>0.63400000000000001</v>
      </c>
      <c r="F15">
        <v>1</v>
      </c>
      <c r="G15">
        <v>5.7279999999999998</v>
      </c>
      <c r="H15">
        <v>4.1500000000000004</v>
      </c>
      <c r="I15">
        <v>1.2538</v>
      </c>
      <c r="J15">
        <v>0.23100000000000001</v>
      </c>
    </row>
    <row r="16" spans="1:10" x14ac:dyDescent="0.3">
      <c r="A16">
        <v>17</v>
      </c>
      <c r="B16">
        <v>1</v>
      </c>
      <c r="C16">
        <v>23.824000000000002</v>
      </c>
      <c r="D16">
        <v>36.238999999999997</v>
      </c>
      <c r="E16">
        <v>0.747</v>
      </c>
      <c r="F16">
        <v>1</v>
      </c>
      <c r="G16">
        <v>9.7180999999999997</v>
      </c>
      <c r="H16">
        <v>4.4661999999999997</v>
      </c>
      <c r="I16">
        <v>2.6863999999999999</v>
      </c>
      <c r="J16">
        <v>0.53800000000000003</v>
      </c>
    </row>
    <row r="17" spans="1:10" x14ac:dyDescent="0.3">
      <c r="A17">
        <v>18</v>
      </c>
      <c r="B17">
        <v>1</v>
      </c>
      <c r="C17">
        <v>5.3170000000000002</v>
      </c>
      <c r="D17">
        <v>19.193000000000001</v>
      </c>
      <c r="E17">
        <v>0.377</v>
      </c>
      <c r="F17">
        <v>1</v>
      </c>
      <c r="G17">
        <v>6.5049000000000001</v>
      </c>
      <c r="H17">
        <v>4.0258000000000003</v>
      </c>
      <c r="I17">
        <v>0.18809999999999999</v>
      </c>
      <c r="J17">
        <v>0</v>
      </c>
    </row>
    <row r="18" spans="1:10" x14ac:dyDescent="0.3">
      <c r="A18">
        <v>20</v>
      </c>
      <c r="B18">
        <v>1</v>
      </c>
      <c r="C18">
        <v>26.5</v>
      </c>
      <c r="D18">
        <v>35.558999999999997</v>
      </c>
      <c r="E18">
        <v>1</v>
      </c>
      <c r="F18">
        <v>0</v>
      </c>
      <c r="G18">
        <v>9.1387</v>
      </c>
      <c r="H18">
        <v>4.1843000000000004</v>
      </c>
      <c r="I18">
        <v>3.1698</v>
      </c>
      <c r="J18">
        <v>0.23100000000000001</v>
      </c>
    </row>
    <row r="19" spans="1:10" x14ac:dyDescent="0.3">
      <c r="A19">
        <v>20</v>
      </c>
      <c r="B19">
        <v>2</v>
      </c>
      <c r="C19">
        <v>25.42</v>
      </c>
      <c r="D19">
        <v>75.159000000000006</v>
      </c>
      <c r="E19">
        <v>1</v>
      </c>
      <c r="F19">
        <v>0</v>
      </c>
      <c r="G19">
        <v>6.2771999999999997</v>
      </c>
      <c r="H19">
        <v>4.9015000000000004</v>
      </c>
      <c r="I19">
        <v>1.9670000000000001</v>
      </c>
      <c r="J19">
        <v>0.308</v>
      </c>
    </row>
    <row r="20" spans="1:10" x14ac:dyDescent="0.3">
      <c r="A20">
        <v>20</v>
      </c>
      <c r="B20">
        <v>3</v>
      </c>
      <c r="C20">
        <v>9.5190000000000001</v>
      </c>
      <c r="D20">
        <v>98.218000000000004</v>
      </c>
      <c r="E20">
        <v>0.41599999999999998</v>
      </c>
      <c r="F20">
        <v>1</v>
      </c>
      <c r="G20">
        <v>9.1044999999999998</v>
      </c>
      <c r="H20">
        <v>6.5949</v>
      </c>
      <c r="I20">
        <v>1.891</v>
      </c>
      <c r="J2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</v>
      </c>
      <c r="B2">
        <v>1</v>
      </c>
      <c r="C2">
        <v>14.39</v>
      </c>
      <c r="D2">
        <v>51.262999999999998</v>
      </c>
      <c r="E2">
        <v>0.55400000000000005</v>
      </c>
      <c r="F2">
        <v>1</v>
      </c>
      <c r="G2">
        <v>7.2508999999999997</v>
      </c>
      <c r="H2">
        <v>2.5931999999999999</v>
      </c>
      <c r="I2">
        <v>3.0577000000000001</v>
      </c>
      <c r="J2">
        <v>7.6999999999999999E-2</v>
      </c>
    </row>
    <row r="3" spans="1:10" x14ac:dyDescent="0.3">
      <c r="A3">
        <v>5</v>
      </c>
      <c r="B3">
        <v>1</v>
      </c>
      <c r="C3">
        <v>22.721</v>
      </c>
      <c r="D3">
        <v>31.071000000000002</v>
      </c>
      <c r="E3">
        <v>0.74</v>
      </c>
      <c r="F3">
        <v>1</v>
      </c>
      <c r="G3">
        <v>8.3571000000000009</v>
      </c>
      <c r="H3">
        <v>4.8002000000000002</v>
      </c>
      <c r="I3">
        <v>6.9099000000000004</v>
      </c>
      <c r="J3">
        <v>0.23100000000000001</v>
      </c>
    </row>
    <row r="4" spans="1:10" x14ac:dyDescent="0.3">
      <c r="A4">
        <v>6</v>
      </c>
      <c r="B4">
        <v>1</v>
      </c>
      <c r="C4">
        <v>25.24</v>
      </c>
      <c r="D4">
        <v>40.899000000000001</v>
      </c>
      <c r="E4">
        <v>1</v>
      </c>
      <c r="F4">
        <v>0</v>
      </c>
      <c r="G4">
        <v>7.8982999999999999</v>
      </c>
      <c r="H4">
        <v>4.4537000000000004</v>
      </c>
      <c r="I4">
        <v>7.7257999999999996</v>
      </c>
      <c r="J4">
        <v>0.23100000000000001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6</v>
      </c>
      <c r="B2">
        <v>1</v>
      </c>
      <c r="C2">
        <v>13.163</v>
      </c>
      <c r="D2">
        <v>30.628</v>
      </c>
      <c r="E2">
        <v>0.41699999999999998</v>
      </c>
      <c r="F2">
        <v>1</v>
      </c>
      <c r="G2">
        <v>9.6056000000000008</v>
      </c>
      <c r="H2">
        <v>4.8532000000000002</v>
      </c>
      <c r="I2">
        <v>0.15190000000000001</v>
      </c>
      <c r="J2">
        <v>7.6999999999999999E-2</v>
      </c>
    </row>
    <row r="3" spans="1:10" x14ac:dyDescent="0.3">
      <c r="A3">
        <v>7</v>
      </c>
      <c r="B3">
        <v>1</v>
      </c>
      <c r="C3">
        <v>13.723000000000001</v>
      </c>
      <c r="D3">
        <v>24.46</v>
      </c>
      <c r="E3">
        <v>0.505</v>
      </c>
      <c r="F3">
        <v>1</v>
      </c>
      <c r="G3">
        <v>12.127700000000001</v>
      </c>
      <c r="H3">
        <v>4.6603000000000003</v>
      </c>
      <c r="I3">
        <v>2.1133000000000002</v>
      </c>
      <c r="J3">
        <v>0.154</v>
      </c>
    </row>
    <row r="4" spans="1:10" x14ac:dyDescent="0.3">
      <c r="A4">
        <v>8</v>
      </c>
      <c r="B4">
        <v>1</v>
      </c>
      <c r="C4">
        <v>7.7060000000000004</v>
      </c>
      <c r="D4">
        <v>19.963000000000001</v>
      </c>
      <c r="E4">
        <v>0.40699999999999997</v>
      </c>
      <c r="F4">
        <v>1</v>
      </c>
      <c r="G4">
        <v>5.9881000000000002</v>
      </c>
      <c r="H4">
        <v>2.5594000000000001</v>
      </c>
      <c r="I4">
        <v>1.8167</v>
      </c>
      <c r="J4">
        <v>7.6999999999999999E-2</v>
      </c>
    </row>
    <row r="5" spans="1:10" x14ac:dyDescent="0.3">
      <c r="A5">
        <v>9</v>
      </c>
      <c r="B5">
        <v>1</v>
      </c>
      <c r="C5">
        <v>16.111999999999998</v>
      </c>
      <c r="D5">
        <v>26.484999999999999</v>
      </c>
      <c r="E5">
        <v>0.60099999999999998</v>
      </c>
      <c r="F5">
        <v>1</v>
      </c>
      <c r="G5">
        <v>12.979100000000001</v>
      </c>
      <c r="H5">
        <v>5.3715999999999999</v>
      </c>
      <c r="I5">
        <v>2.3584999999999998</v>
      </c>
      <c r="J5">
        <v>0.154</v>
      </c>
    </row>
    <row r="6" spans="1:10" x14ac:dyDescent="0.3">
      <c r="A6">
        <v>10</v>
      </c>
      <c r="B6">
        <v>1</v>
      </c>
      <c r="C6">
        <v>9.7210000000000001</v>
      </c>
      <c r="D6">
        <v>21.55</v>
      </c>
      <c r="E6">
        <v>0.47099999999999997</v>
      </c>
      <c r="F6">
        <v>1</v>
      </c>
      <c r="G6">
        <v>7.9156000000000004</v>
      </c>
      <c r="H6">
        <v>4.4217000000000004</v>
      </c>
      <c r="I6">
        <v>1.0286999999999999</v>
      </c>
      <c r="J6">
        <v>0.154</v>
      </c>
    </row>
    <row r="7" spans="1:10" x14ac:dyDescent="0.3">
      <c r="A7">
        <v>11</v>
      </c>
      <c r="B7">
        <v>1</v>
      </c>
      <c r="C7">
        <v>6.5609999999999999</v>
      </c>
      <c r="D7">
        <v>16.259</v>
      </c>
      <c r="E7">
        <v>0.38900000000000001</v>
      </c>
      <c r="F7">
        <v>1</v>
      </c>
      <c r="G7">
        <v>3.6808999999999998</v>
      </c>
      <c r="H7">
        <v>4.0873999999999997</v>
      </c>
      <c r="I7">
        <v>3.2008999999999999</v>
      </c>
      <c r="J7">
        <v>7.6999999999999999E-2</v>
      </c>
    </row>
    <row r="8" spans="1:10" x14ac:dyDescent="0.3">
      <c r="A8">
        <v>12</v>
      </c>
      <c r="B8">
        <v>1</v>
      </c>
      <c r="C8">
        <v>9.4860000000000007</v>
      </c>
      <c r="D8">
        <v>20.125</v>
      </c>
      <c r="E8">
        <v>0.438</v>
      </c>
      <c r="F8">
        <v>1</v>
      </c>
      <c r="G8">
        <v>9.9953000000000003</v>
      </c>
      <c r="H8">
        <v>5.1532999999999998</v>
      </c>
      <c r="I8">
        <v>4.0060000000000002</v>
      </c>
      <c r="J8">
        <v>0.154</v>
      </c>
    </row>
    <row r="9" spans="1:10" x14ac:dyDescent="0.3">
      <c r="A9">
        <v>13</v>
      </c>
      <c r="B9">
        <v>1</v>
      </c>
      <c r="C9">
        <v>9.8510000000000009</v>
      </c>
      <c r="D9">
        <v>21.965</v>
      </c>
      <c r="E9">
        <v>0.41599999999999998</v>
      </c>
      <c r="F9">
        <v>1</v>
      </c>
      <c r="G9">
        <v>7.4627999999999997</v>
      </c>
      <c r="H9">
        <v>4.9109999999999996</v>
      </c>
      <c r="I9">
        <v>1.2181999999999999</v>
      </c>
      <c r="J9">
        <v>7.6999999999999999E-2</v>
      </c>
    </row>
    <row r="10" spans="1:10" x14ac:dyDescent="0.3">
      <c r="A10">
        <v>14</v>
      </c>
      <c r="B10">
        <v>1</v>
      </c>
      <c r="C10">
        <v>8.1159999999999997</v>
      </c>
      <c r="D10">
        <v>19.565000000000001</v>
      </c>
      <c r="E10">
        <v>0.44900000000000001</v>
      </c>
      <c r="F10">
        <v>1</v>
      </c>
      <c r="G10">
        <v>5.7605000000000004</v>
      </c>
      <c r="H10">
        <v>4.484</v>
      </c>
      <c r="I10">
        <v>2.2179000000000002</v>
      </c>
      <c r="J10">
        <v>7.6999999999999999E-2</v>
      </c>
    </row>
    <row r="11" spans="1:10" x14ac:dyDescent="0.3">
      <c r="A11">
        <v>15</v>
      </c>
      <c r="B11">
        <v>1</v>
      </c>
      <c r="C11">
        <v>14.475</v>
      </c>
      <c r="D11">
        <v>22.818999999999999</v>
      </c>
      <c r="E11">
        <v>0.54600000000000004</v>
      </c>
      <c r="F11">
        <v>1</v>
      </c>
      <c r="G11">
        <v>4.7019000000000002</v>
      </c>
      <c r="H11">
        <v>4.1086</v>
      </c>
      <c r="I11">
        <v>1.0363</v>
      </c>
      <c r="J11">
        <v>0.23100000000000001</v>
      </c>
    </row>
    <row r="12" spans="1:10" x14ac:dyDescent="0.3">
      <c r="A12">
        <v>16</v>
      </c>
      <c r="B12">
        <v>1</v>
      </c>
      <c r="C12">
        <v>8.9390000000000001</v>
      </c>
      <c r="D12">
        <v>21.384</v>
      </c>
      <c r="E12">
        <v>0.46500000000000002</v>
      </c>
      <c r="F12">
        <v>1</v>
      </c>
      <c r="G12">
        <v>8.4776000000000007</v>
      </c>
      <c r="H12">
        <v>3.1139000000000001</v>
      </c>
      <c r="I12">
        <v>5.3699000000000003</v>
      </c>
      <c r="J12">
        <v>0</v>
      </c>
    </row>
    <row r="13" spans="1:10" x14ac:dyDescent="0.3">
      <c r="A13">
        <v>17</v>
      </c>
      <c r="B13">
        <v>1</v>
      </c>
      <c r="C13">
        <v>24.681999999999999</v>
      </c>
      <c r="D13">
        <v>38.923999999999999</v>
      </c>
      <c r="E13">
        <v>0.86599999999999999</v>
      </c>
      <c r="F13">
        <v>1</v>
      </c>
      <c r="G13">
        <v>8.3628</v>
      </c>
      <c r="H13">
        <v>4.1123000000000003</v>
      </c>
      <c r="I13">
        <v>2.4308999999999998</v>
      </c>
      <c r="J13">
        <v>0.308</v>
      </c>
    </row>
    <row r="14" spans="1:10" x14ac:dyDescent="0.3">
      <c r="A14">
        <v>18</v>
      </c>
      <c r="B14">
        <v>1</v>
      </c>
      <c r="C14">
        <v>23.021000000000001</v>
      </c>
      <c r="D14">
        <v>35.779000000000003</v>
      </c>
      <c r="E14">
        <v>0.65400000000000003</v>
      </c>
      <c r="F14">
        <v>1</v>
      </c>
      <c r="G14">
        <v>8.1935000000000002</v>
      </c>
      <c r="H14">
        <v>3.6989000000000001</v>
      </c>
      <c r="I14">
        <v>2.9973000000000001</v>
      </c>
      <c r="J14">
        <v>0.23100000000000001</v>
      </c>
    </row>
    <row r="15" spans="1:10" x14ac:dyDescent="0.3">
      <c r="A15">
        <v>19</v>
      </c>
      <c r="B15">
        <v>1</v>
      </c>
      <c r="C15">
        <v>7.7469999999999999</v>
      </c>
      <c r="D15">
        <v>20.506</v>
      </c>
      <c r="E15">
        <v>0.439</v>
      </c>
      <c r="F15">
        <v>1</v>
      </c>
      <c r="G15">
        <v>4.0788000000000002</v>
      </c>
      <c r="H15">
        <v>4.1264000000000003</v>
      </c>
      <c r="I15">
        <v>0.90359999999999996</v>
      </c>
      <c r="J15">
        <v>7.6999999999999999E-2</v>
      </c>
    </row>
    <row r="16" spans="1:10" x14ac:dyDescent="0.3">
      <c r="A16">
        <v>20</v>
      </c>
      <c r="B16">
        <v>1</v>
      </c>
      <c r="C16">
        <v>3.6579999999999999</v>
      </c>
      <c r="D16">
        <v>13.791</v>
      </c>
      <c r="E16">
        <v>0.35099999999999998</v>
      </c>
      <c r="F16">
        <v>0</v>
      </c>
      <c r="G16">
        <v>6.3551000000000002</v>
      </c>
      <c r="H16">
        <v>0.14749999999999999</v>
      </c>
      <c r="I16">
        <v>0</v>
      </c>
      <c r="J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88</v>
      </c>
      <c r="B2">
        <v>1</v>
      </c>
      <c r="C2">
        <v>8.173</v>
      </c>
      <c r="D2">
        <v>57.735999999999997</v>
      </c>
      <c r="E2">
        <v>0.35599999999999998</v>
      </c>
      <c r="F2">
        <v>1</v>
      </c>
      <c r="G2">
        <v>7.4584000000000001</v>
      </c>
      <c r="H2">
        <v>4.5837000000000003</v>
      </c>
      <c r="I2">
        <v>3.4258000000000002</v>
      </c>
      <c r="J2">
        <v>7.6999999999999999E-2</v>
      </c>
    </row>
    <row r="3" spans="1:10" x14ac:dyDescent="0.3">
      <c r="A3">
        <v>90</v>
      </c>
      <c r="B3">
        <v>1</v>
      </c>
      <c r="C3">
        <v>3.7280000000000002</v>
      </c>
      <c r="D3">
        <v>12.61</v>
      </c>
      <c r="E3">
        <v>0.28399999999999997</v>
      </c>
      <c r="F3">
        <v>1</v>
      </c>
      <c r="G3">
        <v>4.7645</v>
      </c>
      <c r="H3">
        <v>3.3479000000000001</v>
      </c>
      <c r="I3">
        <v>0</v>
      </c>
      <c r="J3">
        <v>0</v>
      </c>
    </row>
    <row r="4" spans="1:10" x14ac:dyDescent="0.3">
      <c r="A4">
        <v>91</v>
      </c>
      <c r="B4">
        <v>1</v>
      </c>
      <c r="C4">
        <v>11.819000000000001</v>
      </c>
      <c r="D4">
        <v>20.991</v>
      </c>
      <c r="E4">
        <v>0.47199999999999998</v>
      </c>
      <c r="F4">
        <v>1</v>
      </c>
      <c r="G4">
        <v>6.601</v>
      </c>
      <c r="H4">
        <v>4.8335999999999997</v>
      </c>
      <c r="I4">
        <v>3.7227000000000001</v>
      </c>
      <c r="J4">
        <v>0.23100000000000001</v>
      </c>
    </row>
    <row r="5" spans="1:10" x14ac:dyDescent="0.3">
      <c r="A5">
        <v>92</v>
      </c>
      <c r="B5">
        <v>1</v>
      </c>
      <c r="C5">
        <v>16.055</v>
      </c>
      <c r="D5">
        <v>28.155000000000001</v>
      </c>
      <c r="E5">
        <v>0.61</v>
      </c>
      <c r="F5">
        <v>1</v>
      </c>
      <c r="G5">
        <v>8.1311</v>
      </c>
      <c r="H5">
        <v>4.4104999999999999</v>
      </c>
      <c r="I5">
        <v>4.7337999999999996</v>
      </c>
      <c r="J5">
        <v>0.23100000000000001</v>
      </c>
    </row>
    <row r="6" spans="1:10" x14ac:dyDescent="0.3">
      <c r="A6">
        <v>93</v>
      </c>
      <c r="B6">
        <v>1</v>
      </c>
      <c r="C6">
        <v>11.54</v>
      </c>
      <c r="D6">
        <v>22.164999999999999</v>
      </c>
      <c r="E6">
        <v>0.47199999999999998</v>
      </c>
      <c r="F6">
        <v>1</v>
      </c>
      <c r="G6">
        <v>9.5355000000000008</v>
      </c>
      <c r="H6">
        <v>4.5575999999999999</v>
      </c>
      <c r="I6">
        <v>4.5929000000000002</v>
      </c>
      <c r="J6">
        <v>0.154</v>
      </c>
    </row>
    <row r="7" spans="1:10" x14ac:dyDescent="0.3">
      <c r="A7">
        <v>94</v>
      </c>
      <c r="B7">
        <v>1</v>
      </c>
      <c r="C7">
        <v>17.734000000000002</v>
      </c>
      <c r="D7">
        <v>28.375</v>
      </c>
      <c r="E7">
        <v>0.57299999999999995</v>
      </c>
      <c r="F7">
        <v>1</v>
      </c>
      <c r="G7">
        <v>19.8978</v>
      </c>
      <c r="H7">
        <v>6.6730999999999998</v>
      </c>
      <c r="I7">
        <v>2.8195000000000001</v>
      </c>
      <c r="J7">
        <v>7.6999999999999999E-2</v>
      </c>
    </row>
    <row r="8" spans="1:10" x14ac:dyDescent="0.3">
      <c r="A8">
        <v>95</v>
      </c>
      <c r="B8">
        <v>1</v>
      </c>
      <c r="C8">
        <v>20.957999999999998</v>
      </c>
      <c r="D8">
        <v>34.783999999999999</v>
      </c>
      <c r="E8">
        <v>0.64100000000000001</v>
      </c>
      <c r="F8">
        <v>1</v>
      </c>
      <c r="G8">
        <v>15.7844</v>
      </c>
      <c r="H8">
        <v>4.2876000000000003</v>
      </c>
      <c r="I8">
        <v>3.5308999999999999</v>
      </c>
      <c r="J8">
        <v>0.308</v>
      </c>
    </row>
    <row r="9" spans="1:10" x14ac:dyDescent="0.3">
      <c r="A9">
        <v>96</v>
      </c>
      <c r="B9">
        <v>1</v>
      </c>
      <c r="C9">
        <v>17.259</v>
      </c>
      <c r="D9">
        <v>27.661000000000001</v>
      </c>
      <c r="E9">
        <v>0.64800000000000002</v>
      </c>
      <c r="F9">
        <v>1</v>
      </c>
      <c r="G9">
        <v>10.1127</v>
      </c>
      <c r="H9">
        <v>4.9433999999999996</v>
      </c>
      <c r="I9">
        <v>2.7231999999999998</v>
      </c>
      <c r="J9">
        <v>0.23100000000000001</v>
      </c>
    </row>
    <row r="10" spans="1:10" x14ac:dyDescent="0.3">
      <c r="A10">
        <v>97</v>
      </c>
      <c r="B10">
        <v>1</v>
      </c>
      <c r="C10">
        <v>26.048999999999999</v>
      </c>
      <c r="D10">
        <v>35.969000000000001</v>
      </c>
      <c r="E10">
        <v>0.92800000000000005</v>
      </c>
      <c r="F10">
        <v>1</v>
      </c>
      <c r="G10">
        <v>6.2281000000000004</v>
      </c>
      <c r="H10">
        <v>6.1162999999999998</v>
      </c>
      <c r="I10">
        <v>4.0308999999999999</v>
      </c>
      <c r="J10">
        <v>0.53800000000000003</v>
      </c>
    </row>
    <row r="11" spans="1:10" x14ac:dyDescent="0.3">
      <c r="A11">
        <v>98</v>
      </c>
      <c r="B11">
        <v>1</v>
      </c>
      <c r="C11">
        <v>12.295</v>
      </c>
      <c r="D11">
        <v>30.327000000000002</v>
      </c>
      <c r="E11">
        <v>0.502</v>
      </c>
      <c r="F11">
        <v>1</v>
      </c>
      <c r="G11">
        <v>10.4885</v>
      </c>
      <c r="H11">
        <v>4.9180999999999999</v>
      </c>
      <c r="I11">
        <v>3.5785999999999998</v>
      </c>
      <c r="J11">
        <v>0.154</v>
      </c>
    </row>
    <row r="12" spans="1:10" x14ac:dyDescent="0.3">
      <c r="A12">
        <v>99</v>
      </c>
      <c r="B12">
        <v>1</v>
      </c>
      <c r="C12">
        <v>20.3</v>
      </c>
      <c r="D12">
        <v>30.103999999999999</v>
      </c>
      <c r="E12">
        <v>0.61799999999999999</v>
      </c>
      <c r="F12">
        <v>1</v>
      </c>
      <c r="G12">
        <v>14.551399999999999</v>
      </c>
      <c r="H12">
        <v>4.6658999999999997</v>
      </c>
      <c r="I12">
        <v>2.9064000000000001</v>
      </c>
      <c r="J12">
        <v>0.308</v>
      </c>
    </row>
    <row r="13" spans="1:10" x14ac:dyDescent="0.3">
      <c r="A13">
        <v>101</v>
      </c>
      <c r="B13">
        <v>1</v>
      </c>
      <c r="C13">
        <v>30.855</v>
      </c>
      <c r="D13">
        <v>39.683999999999997</v>
      </c>
      <c r="E13">
        <v>1</v>
      </c>
      <c r="F13">
        <v>1</v>
      </c>
      <c r="G13">
        <v>9.0541</v>
      </c>
      <c r="H13">
        <v>4.6307999999999998</v>
      </c>
      <c r="I13">
        <v>3.6621999999999999</v>
      </c>
      <c r="J13">
        <v>0.23100000000000001</v>
      </c>
    </row>
    <row r="14" spans="1:10" x14ac:dyDescent="0.3">
      <c r="A14">
        <v>102</v>
      </c>
      <c r="B14">
        <v>1</v>
      </c>
      <c r="C14">
        <v>8.2759999999999998</v>
      </c>
      <c r="D14">
        <v>38.64</v>
      </c>
      <c r="E14">
        <v>0.35699999999999998</v>
      </c>
      <c r="F14">
        <v>1</v>
      </c>
      <c r="G14">
        <v>9.7454999999999998</v>
      </c>
      <c r="H14">
        <v>3.1242999999999999</v>
      </c>
      <c r="I14">
        <v>3.2625000000000002</v>
      </c>
      <c r="J14">
        <v>7.6999999999999999E-2</v>
      </c>
    </row>
    <row r="15" spans="1:10" x14ac:dyDescent="0.3">
      <c r="A15">
        <v>104</v>
      </c>
      <c r="B15">
        <v>1</v>
      </c>
      <c r="C15">
        <v>26.82</v>
      </c>
      <c r="D15">
        <v>35.417999999999999</v>
      </c>
      <c r="E15">
        <v>1</v>
      </c>
      <c r="F15">
        <v>0</v>
      </c>
      <c r="G15">
        <v>6.6524999999999999</v>
      </c>
      <c r="H15">
        <v>5.3613</v>
      </c>
      <c r="I15">
        <v>3.9895999999999998</v>
      </c>
      <c r="J15">
        <v>0.46200000000000002</v>
      </c>
    </row>
    <row r="16" spans="1:10" x14ac:dyDescent="0.3">
      <c r="A16">
        <v>104</v>
      </c>
      <c r="B16">
        <v>2</v>
      </c>
      <c r="C16">
        <v>11.932</v>
      </c>
      <c r="D16">
        <v>60.43</v>
      </c>
      <c r="E16">
        <v>0.47299999999999998</v>
      </c>
      <c r="F16">
        <v>1</v>
      </c>
      <c r="G16">
        <v>10.8385</v>
      </c>
      <c r="H16">
        <v>3.2827999999999999</v>
      </c>
      <c r="I16">
        <v>3.2686000000000002</v>
      </c>
      <c r="J16">
        <v>7.6999999999999999E-2</v>
      </c>
    </row>
    <row r="17" spans="1:10" x14ac:dyDescent="0.3">
      <c r="A17">
        <v>105</v>
      </c>
      <c r="B17">
        <v>1</v>
      </c>
      <c r="C17">
        <v>20.81</v>
      </c>
      <c r="D17">
        <v>30.738</v>
      </c>
      <c r="E17">
        <v>0.68200000000000005</v>
      </c>
      <c r="F17">
        <v>1</v>
      </c>
      <c r="G17">
        <v>7.5723000000000003</v>
      </c>
      <c r="H17">
        <v>3.1941000000000002</v>
      </c>
      <c r="I17">
        <v>2.6429999999999998</v>
      </c>
      <c r="J17">
        <v>0.308</v>
      </c>
    </row>
    <row r="18" spans="1:10" x14ac:dyDescent="0.3">
      <c r="A18">
        <v>106</v>
      </c>
      <c r="B18">
        <v>1</v>
      </c>
      <c r="C18">
        <v>23.291</v>
      </c>
      <c r="D18">
        <v>32.640999999999998</v>
      </c>
      <c r="E18">
        <v>0.80900000000000005</v>
      </c>
      <c r="F18">
        <v>1</v>
      </c>
      <c r="G18">
        <v>5.8297999999999996</v>
      </c>
      <c r="H18">
        <v>5.5468999999999999</v>
      </c>
      <c r="I18">
        <v>2.7479</v>
      </c>
      <c r="J18">
        <v>0.308</v>
      </c>
    </row>
    <row r="19" spans="1:10" x14ac:dyDescent="0.3">
      <c r="A19">
        <v>107</v>
      </c>
      <c r="B19">
        <v>1</v>
      </c>
      <c r="C19">
        <v>26.26</v>
      </c>
      <c r="D19">
        <v>41.85</v>
      </c>
      <c r="E19">
        <v>1</v>
      </c>
      <c r="F19">
        <v>0</v>
      </c>
      <c r="G19">
        <v>6.5548999999999999</v>
      </c>
      <c r="H19">
        <v>5.2755999999999998</v>
      </c>
      <c r="I19">
        <v>4.6077000000000004</v>
      </c>
      <c r="J19">
        <v>0.53800000000000003</v>
      </c>
    </row>
    <row r="20" spans="1:10" x14ac:dyDescent="0.3">
      <c r="A20">
        <v>107</v>
      </c>
      <c r="B20">
        <v>2</v>
      </c>
      <c r="C20">
        <v>25.5</v>
      </c>
      <c r="D20">
        <v>81.509</v>
      </c>
      <c r="E20">
        <v>1</v>
      </c>
      <c r="F20">
        <v>0</v>
      </c>
      <c r="G20">
        <v>5.5243000000000002</v>
      </c>
      <c r="H20">
        <v>5.9039000000000001</v>
      </c>
      <c r="I20">
        <v>4.8627000000000002</v>
      </c>
      <c r="J20">
        <v>0.23100000000000001</v>
      </c>
    </row>
    <row r="21" spans="1:10" x14ac:dyDescent="0.3">
      <c r="A21">
        <v>107</v>
      </c>
      <c r="B21">
        <v>3</v>
      </c>
      <c r="C21">
        <v>26.82</v>
      </c>
      <c r="D21">
        <v>121.23</v>
      </c>
      <c r="E21">
        <v>1</v>
      </c>
      <c r="F21">
        <v>0</v>
      </c>
      <c r="G21">
        <v>6.7154999999999996</v>
      </c>
      <c r="H21">
        <v>5.3552999999999997</v>
      </c>
      <c r="I21">
        <v>4.2878999999999996</v>
      </c>
      <c r="J21">
        <v>0.23100000000000001</v>
      </c>
    </row>
    <row r="22" spans="1:10" x14ac:dyDescent="0.3">
      <c r="A22">
        <v>107</v>
      </c>
      <c r="B22">
        <v>4</v>
      </c>
      <c r="C22">
        <v>25.22</v>
      </c>
      <c r="D22">
        <v>160.589</v>
      </c>
      <c r="E22">
        <v>1</v>
      </c>
      <c r="F22">
        <v>0</v>
      </c>
      <c r="G22">
        <v>7.2028999999999996</v>
      </c>
      <c r="H22">
        <v>5.2927999999999997</v>
      </c>
      <c r="I22">
        <v>4.4409999999999998</v>
      </c>
      <c r="J22">
        <v>0.308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29</v>
      </c>
      <c r="B2">
        <v>1</v>
      </c>
      <c r="C2">
        <v>9.5090000000000003</v>
      </c>
      <c r="D2">
        <v>48.036999999999999</v>
      </c>
      <c r="E2">
        <v>0.41599999999999998</v>
      </c>
      <c r="F2">
        <v>1</v>
      </c>
      <c r="G2">
        <v>14.162699999999999</v>
      </c>
      <c r="H2">
        <v>3.4022999999999999</v>
      </c>
      <c r="I2">
        <v>3.2601</v>
      </c>
      <c r="J2">
        <v>7.6999999999999999E-2</v>
      </c>
    </row>
    <row r="3" spans="1:10" x14ac:dyDescent="0.3">
      <c r="A3">
        <v>30</v>
      </c>
      <c r="B3">
        <v>1</v>
      </c>
      <c r="C3">
        <v>19.007000000000001</v>
      </c>
      <c r="D3">
        <v>31.917999999999999</v>
      </c>
      <c r="E3">
        <v>0.67800000000000005</v>
      </c>
      <c r="F3">
        <v>1</v>
      </c>
      <c r="G3">
        <v>11.5604</v>
      </c>
      <c r="H3">
        <v>5.3837999999999999</v>
      </c>
      <c r="I3">
        <v>2.2623000000000002</v>
      </c>
      <c r="J3">
        <v>0.23100000000000001</v>
      </c>
    </row>
    <row r="4" spans="1:10" x14ac:dyDescent="0.3">
      <c r="A4">
        <v>31</v>
      </c>
      <c r="B4">
        <v>1</v>
      </c>
      <c r="C4">
        <v>27.263999999999999</v>
      </c>
      <c r="D4">
        <v>39.616999999999997</v>
      </c>
      <c r="E4">
        <v>1</v>
      </c>
      <c r="F4">
        <v>1</v>
      </c>
      <c r="G4">
        <v>10.699299999999999</v>
      </c>
      <c r="H4">
        <v>3.3189000000000002</v>
      </c>
      <c r="I4">
        <v>1.1003000000000001</v>
      </c>
      <c r="J4">
        <v>0.154</v>
      </c>
    </row>
    <row r="5" spans="1:10" x14ac:dyDescent="0.3">
      <c r="A5">
        <v>32</v>
      </c>
      <c r="B5">
        <v>1</v>
      </c>
      <c r="C5">
        <v>15.663</v>
      </c>
      <c r="D5">
        <v>68.519000000000005</v>
      </c>
      <c r="E5">
        <v>0.52900000000000003</v>
      </c>
      <c r="F5">
        <v>1</v>
      </c>
      <c r="G5">
        <v>11.0009</v>
      </c>
      <c r="H5">
        <v>5.4317000000000002</v>
      </c>
      <c r="I5">
        <v>2.9367999999999999</v>
      </c>
      <c r="J5">
        <v>0.154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J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>
        <v>1</v>
      </c>
      <c r="C2">
        <v>10.042</v>
      </c>
      <c r="D2">
        <v>50.19</v>
      </c>
      <c r="E2">
        <v>0.41599999999999998</v>
      </c>
      <c r="F2">
        <v>1</v>
      </c>
      <c r="G2">
        <v>10.593</v>
      </c>
      <c r="H2">
        <v>5.0050999999999997</v>
      </c>
      <c r="I2">
        <v>9.9599999999999994E-2</v>
      </c>
      <c r="J2">
        <v>7.6999999999999999E-2</v>
      </c>
    </row>
    <row r="3" spans="1:10" x14ac:dyDescent="0.3">
      <c r="A3">
        <v>11</v>
      </c>
      <c r="B3">
        <v>1</v>
      </c>
      <c r="C3">
        <v>25.92</v>
      </c>
      <c r="D3">
        <v>36.838000000000001</v>
      </c>
      <c r="E3">
        <v>0.999</v>
      </c>
      <c r="F3">
        <v>0</v>
      </c>
      <c r="G3">
        <v>9.3901000000000003</v>
      </c>
      <c r="H3">
        <v>3.5733000000000001</v>
      </c>
      <c r="I3">
        <v>3.5493999999999999</v>
      </c>
      <c r="J3">
        <v>0.46200000000000002</v>
      </c>
    </row>
    <row r="4" spans="1:10" x14ac:dyDescent="0.3">
      <c r="A4">
        <v>12</v>
      </c>
      <c r="B4">
        <v>1</v>
      </c>
      <c r="C4">
        <v>24.76</v>
      </c>
      <c r="D4">
        <v>47.951999999999998</v>
      </c>
      <c r="E4">
        <v>1</v>
      </c>
      <c r="F4">
        <v>0</v>
      </c>
      <c r="G4">
        <v>8.5520999999999994</v>
      </c>
      <c r="H4">
        <v>4.0814000000000004</v>
      </c>
      <c r="I4">
        <v>3.3117999999999999</v>
      </c>
      <c r="J4">
        <v>0.23100000000000001</v>
      </c>
    </row>
    <row r="5" spans="1:10" x14ac:dyDescent="0.3">
      <c r="A5">
        <v>12</v>
      </c>
      <c r="B5">
        <v>2</v>
      </c>
      <c r="C5">
        <v>25.28</v>
      </c>
      <c r="D5">
        <v>87.772000000000006</v>
      </c>
      <c r="E5">
        <v>1</v>
      </c>
      <c r="F5">
        <v>0</v>
      </c>
      <c r="G5">
        <v>8.4334000000000007</v>
      </c>
      <c r="H5">
        <v>3.9376000000000002</v>
      </c>
      <c r="I5">
        <v>3.5996999999999999</v>
      </c>
      <c r="J5">
        <v>0.23100000000000001</v>
      </c>
    </row>
    <row r="6" spans="1:10" x14ac:dyDescent="0.3">
      <c r="A6">
        <v>12</v>
      </c>
      <c r="B6">
        <v>3</v>
      </c>
      <c r="C6">
        <v>25.36</v>
      </c>
      <c r="D6">
        <v>127.11199999999999</v>
      </c>
      <c r="E6">
        <v>1</v>
      </c>
      <c r="F6">
        <v>0</v>
      </c>
      <c r="G6">
        <v>7.8625999999999996</v>
      </c>
      <c r="H6">
        <v>4.1936</v>
      </c>
      <c r="I6">
        <v>2.9967999999999999</v>
      </c>
      <c r="J6">
        <v>0.23100000000000001</v>
      </c>
    </row>
    <row r="7" spans="1:10" x14ac:dyDescent="0.3">
      <c r="A7">
        <v>12</v>
      </c>
      <c r="B7">
        <v>4</v>
      </c>
      <c r="C7">
        <v>15.509</v>
      </c>
      <c r="D7">
        <v>157.221</v>
      </c>
      <c r="E7">
        <v>0.53</v>
      </c>
      <c r="F7">
        <v>1</v>
      </c>
      <c r="G7">
        <v>8.2256</v>
      </c>
      <c r="H7">
        <v>5.4954999999999998</v>
      </c>
      <c r="I7">
        <v>1.9342999999999999</v>
      </c>
      <c r="J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>
        <v>1</v>
      </c>
      <c r="C2">
        <v>19.966000000000001</v>
      </c>
      <c r="D2">
        <v>32.621000000000002</v>
      </c>
      <c r="E2">
        <v>0.71199999999999997</v>
      </c>
      <c r="F2">
        <v>1</v>
      </c>
      <c r="G2">
        <v>8.6281999999999996</v>
      </c>
      <c r="H2">
        <v>4.4363000000000001</v>
      </c>
      <c r="I2">
        <v>2.9550000000000001</v>
      </c>
      <c r="J2">
        <v>0.23100000000000001</v>
      </c>
    </row>
    <row r="3" spans="1:10" x14ac:dyDescent="0.3">
      <c r="A3">
        <v>15</v>
      </c>
      <c r="B3">
        <v>1</v>
      </c>
      <c r="C3">
        <v>10.39</v>
      </c>
      <c r="D3">
        <v>58.904000000000003</v>
      </c>
      <c r="E3">
        <v>0.41599999999999998</v>
      </c>
      <c r="F3">
        <v>1</v>
      </c>
      <c r="G3">
        <v>12.073</v>
      </c>
      <c r="H3">
        <v>6.6351000000000004</v>
      </c>
      <c r="I3">
        <v>2.4062000000000001</v>
      </c>
      <c r="J3">
        <v>7.6999999999999999E-2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>
        <v>1</v>
      </c>
      <c r="C2">
        <v>9.0510000000000002</v>
      </c>
      <c r="D2">
        <v>59.209000000000003</v>
      </c>
      <c r="E2">
        <v>0.41599999999999998</v>
      </c>
      <c r="F2">
        <v>1</v>
      </c>
      <c r="G2">
        <v>10.742800000000001</v>
      </c>
      <c r="H2">
        <v>4.1731999999999996</v>
      </c>
      <c r="I2">
        <v>4.1981999999999999</v>
      </c>
      <c r="J2">
        <v>7.6999999999999999E-2</v>
      </c>
    </row>
    <row r="3" spans="1:10" x14ac:dyDescent="0.3">
      <c r="A3">
        <v>10</v>
      </c>
      <c r="B3">
        <v>1</v>
      </c>
      <c r="C3">
        <v>6.9930000000000003</v>
      </c>
      <c r="D3">
        <v>62.780999999999999</v>
      </c>
      <c r="E3">
        <v>0.35599999999999998</v>
      </c>
      <c r="F3">
        <v>1</v>
      </c>
      <c r="G3">
        <v>1.9564999999999999</v>
      </c>
      <c r="H3">
        <v>4.8055000000000003</v>
      </c>
      <c r="I3">
        <v>0</v>
      </c>
      <c r="J3">
        <v>7.6999999999999999E-2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>
        <v>1</v>
      </c>
      <c r="C2">
        <v>12.664999999999999</v>
      </c>
      <c r="D2">
        <v>46.768999999999998</v>
      </c>
      <c r="E2">
        <v>0.505</v>
      </c>
      <c r="F2">
        <v>1</v>
      </c>
      <c r="G2">
        <v>8.7194000000000003</v>
      </c>
      <c r="H2">
        <v>5.4512999999999998</v>
      </c>
      <c r="I2">
        <v>5.0533999999999999</v>
      </c>
      <c r="J2">
        <v>0.23100000000000001</v>
      </c>
    </row>
    <row r="3" spans="1:10" x14ac:dyDescent="0.3">
      <c r="A3">
        <v>10</v>
      </c>
      <c r="B3">
        <v>1</v>
      </c>
      <c r="C3">
        <v>28.062000000000001</v>
      </c>
      <c r="D3">
        <v>41.378</v>
      </c>
      <c r="E3">
        <v>1</v>
      </c>
      <c r="F3">
        <v>1</v>
      </c>
      <c r="G3">
        <v>8.4992999999999999</v>
      </c>
      <c r="H3">
        <v>5.6116000000000001</v>
      </c>
      <c r="I3">
        <v>5.9154</v>
      </c>
      <c r="J3">
        <v>0.38500000000000001</v>
      </c>
    </row>
    <row r="4" spans="1:10" x14ac:dyDescent="0.3">
      <c r="A4">
        <v>11</v>
      </c>
      <c r="B4">
        <v>1</v>
      </c>
      <c r="C4">
        <v>20.071000000000002</v>
      </c>
      <c r="D4">
        <v>29.408000000000001</v>
      </c>
      <c r="E4">
        <v>0.76400000000000001</v>
      </c>
      <c r="F4">
        <v>1</v>
      </c>
      <c r="G4">
        <v>6.3907999999999996</v>
      </c>
      <c r="H4">
        <v>5.1860999999999997</v>
      </c>
      <c r="I4">
        <v>4.9325999999999999</v>
      </c>
      <c r="J4">
        <v>0.23100000000000001</v>
      </c>
    </row>
    <row r="5" spans="1:10" x14ac:dyDescent="0.3">
      <c r="A5">
        <v>12</v>
      </c>
      <c r="B5">
        <v>1</v>
      </c>
      <c r="C5">
        <v>17.658999999999999</v>
      </c>
      <c r="D5">
        <v>28.648</v>
      </c>
      <c r="E5">
        <v>0.53500000000000003</v>
      </c>
      <c r="F5">
        <v>1</v>
      </c>
      <c r="G5">
        <v>9.0007999999999999</v>
      </c>
      <c r="H5">
        <v>5.5137999999999998</v>
      </c>
      <c r="I5">
        <v>3.964</v>
      </c>
      <c r="J5">
        <v>0.23100000000000001</v>
      </c>
    </row>
    <row r="6" spans="1:10" x14ac:dyDescent="0.3">
      <c r="A6">
        <v>13</v>
      </c>
      <c r="B6">
        <v>1</v>
      </c>
      <c r="C6">
        <v>22.355</v>
      </c>
      <c r="D6">
        <v>32.835999999999999</v>
      </c>
      <c r="E6">
        <v>0.74399999999999999</v>
      </c>
      <c r="F6">
        <v>1</v>
      </c>
      <c r="G6">
        <v>7.6875999999999998</v>
      </c>
      <c r="H6">
        <v>6.1813000000000002</v>
      </c>
      <c r="I6">
        <v>6.6204999999999998</v>
      </c>
      <c r="J6">
        <v>0.23100000000000001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>
        <v>1</v>
      </c>
      <c r="C2">
        <v>7.0540000000000003</v>
      </c>
      <c r="D2">
        <v>54.338000000000001</v>
      </c>
      <c r="E2">
        <v>0.35599999999999998</v>
      </c>
      <c r="F2">
        <v>1</v>
      </c>
      <c r="G2">
        <v>12.583299999999999</v>
      </c>
      <c r="H2">
        <v>5.5273000000000003</v>
      </c>
      <c r="I2">
        <v>3.9695999999999998</v>
      </c>
      <c r="J2">
        <v>7.6999999999999999E-2</v>
      </c>
    </row>
    <row r="3" spans="1:10" x14ac:dyDescent="0.3">
      <c r="A3">
        <v>9</v>
      </c>
      <c r="B3">
        <v>1</v>
      </c>
      <c r="C3">
        <v>21.556999999999999</v>
      </c>
      <c r="D3">
        <v>35.442999999999998</v>
      </c>
      <c r="E3">
        <v>0.77600000000000002</v>
      </c>
      <c r="F3">
        <v>1</v>
      </c>
      <c r="G3">
        <v>8.5716999999999999</v>
      </c>
      <c r="H3">
        <v>5.28</v>
      </c>
      <c r="I3">
        <v>6.4016000000000002</v>
      </c>
      <c r="J3">
        <v>0.154</v>
      </c>
    </row>
    <row r="4" spans="1:10" x14ac:dyDescent="0.3">
      <c r="A4">
        <v>10</v>
      </c>
      <c r="B4">
        <v>1</v>
      </c>
      <c r="C4">
        <v>14.859</v>
      </c>
      <c r="D4">
        <v>28.542000000000002</v>
      </c>
      <c r="E4">
        <v>0.53</v>
      </c>
      <c r="F4">
        <v>1</v>
      </c>
      <c r="G4">
        <v>8.2020999999999997</v>
      </c>
      <c r="H4">
        <v>3.3622999999999998</v>
      </c>
      <c r="I4">
        <v>3.4323000000000001</v>
      </c>
      <c r="J4">
        <v>7.6999999999999999E-2</v>
      </c>
    </row>
    <row r="5" spans="1:10" x14ac:dyDescent="0.3">
      <c r="A5">
        <v>11</v>
      </c>
      <c r="B5">
        <v>1</v>
      </c>
      <c r="C5">
        <v>25.72</v>
      </c>
      <c r="D5">
        <v>36.701000000000001</v>
      </c>
      <c r="E5">
        <v>1</v>
      </c>
      <c r="F5">
        <v>0</v>
      </c>
      <c r="G5">
        <v>7.4848999999999997</v>
      </c>
      <c r="H5">
        <v>4.5442</v>
      </c>
      <c r="I5">
        <v>4.6268000000000002</v>
      </c>
      <c r="J5">
        <v>0</v>
      </c>
    </row>
    <row r="6" spans="1:10" x14ac:dyDescent="0.3">
      <c r="A6">
        <v>11</v>
      </c>
      <c r="B6">
        <v>2</v>
      </c>
      <c r="C6">
        <v>14.872</v>
      </c>
      <c r="D6">
        <v>65.552999999999997</v>
      </c>
      <c r="E6">
        <v>0.53600000000000003</v>
      </c>
      <c r="F6">
        <v>1</v>
      </c>
      <c r="G6">
        <v>12.3001</v>
      </c>
      <c r="H6">
        <v>2.9113000000000002</v>
      </c>
      <c r="I6">
        <v>2.3534000000000002</v>
      </c>
      <c r="J6">
        <v>7.6999999999999999E-2</v>
      </c>
    </row>
    <row r="7" spans="1:10" x14ac:dyDescent="0.3">
      <c r="A7">
        <v>12</v>
      </c>
      <c r="B7">
        <v>1</v>
      </c>
      <c r="C7">
        <v>25.92</v>
      </c>
      <c r="D7">
        <v>38.607999999999997</v>
      </c>
      <c r="E7">
        <v>1</v>
      </c>
      <c r="F7">
        <v>0</v>
      </c>
      <c r="G7">
        <v>6.9170999999999996</v>
      </c>
      <c r="H7">
        <v>4.4595000000000002</v>
      </c>
      <c r="I7">
        <v>4.3596000000000004</v>
      </c>
      <c r="J7">
        <v>0.154</v>
      </c>
    </row>
    <row r="8" spans="1:10" x14ac:dyDescent="0.3">
      <c r="A8">
        <v>12</v>
      </c>
      <c r="B8">
        <v>2</v>
      </c>
      <c r="C8">
        <v>24.82</v>
      </c>
      <c r="D8">
        <v>77.888000000000005</v>
      </c>
      <c r="E8">
        <v>1</v>
      </c>
      <c r="F8">
        <v>0</v>
      </c>
      <c r="G8">
        <v>7.6886999999999999</v>
      </c>
      <c r="H8">
        <v>4.3217999999999996</v>
      </c>
      <c r="I8">
        <v>4.0693000000000001</v>
      </c>
      <c r="J8">
        <v>0</v>
      </c>
    </row>
    <row r="9" spans="1:10" x14ac:dyDescent="0.3">
      <c r="A9">
        <v>12</v>
      </c>
      <c r="B9">
        <v>3</v>
      </c>
      <c r="C9">
        <v>21.8</v>
      </c>
      <c r="D9">
        <v>113.248</v>
      </c>
      <c r="E9">
        <v>0.69799999999999995</v>
      </c>
      <c r="F9">
        <v>1</v>
      </c>
      <c r="G9">
        <v>8.3782999999999994</v>
      </c>
      <c r="H9">
        <v>3.8008999999999999</v>
      </c>
      <c r="I9">
        <v>4.266</v>
      </c>
      <c r="J9">
        <v>0.154</v>
      </c>
    </row>
    <row r="10" spans="1:10" x14ac:dyDescent="0.3">
      <c r="A10">
        <v>13</v>
      </c>
      <c r="B10">
        <v>1</v>
      </c>
      <c r="C10">
        <v>27.285</v>
      </c>
      <c r="D10">
        <v>49.365000000000002</v>
      </c>
      <c r="E10">
        <v>0.44900000000000001</v>
      </c>
      <c r="F10">
        <v>1</v>
      </c>
      <c r="G10">
        <v>32.2194</v>
      </c>
      <c r="H10">
        <v>5.5876999999999999</v>
      </c>
      <c r="I10">
        <v>0.5131</v>
      </c>
      <c r="J10">
        <v>7.6999999999999999E-2</v>
      </c>
    </row>
    <row r="11" spans="1:10" x14ac:dyDescent="0.3">
      <c r="A11">
        <v>14</v>
      </c>
      <c r="B11">
        <v>1</v>
      </c>
      <c r="C11">
        <v>25.134</v>
      </c>
      <c r="D11">
        <v>34.329000000000001</v>
      </c>
      <c r="E11">
        <v>0.82799999999999996</v>
      </c>
      <c r="F11">
        <v>1</v>
      </c>
      <c r="G11">
        <v>10.356400000000001</v>
      </c>
      <c r="H11">
        <v>5.5185000000000004</v>
      </c>
      <c r="I11">
        <v>3.5808</v>
      </c>
      <c r="J11">
        <v>0.46200000000000002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34</v>
      </c>
      <c r="B2">
        <v>1</v>
      </c>
      <c r="C2">
        <v>20.433</v>
      </c>
      <c r="D2">
        <v>56.970999999999997</v>
      </c>
      <c r="E2">
        <v>0.59</v>
      </c>
      <c r="F2">
        <v>1</v>
      </c>
      <c r="G2">
        <v>11.4184</v>
      </c>
      <c r="H2">
        <v>5.6607000000000003</v>
      </c>
      <c r="I2">
        <v>2.496</v>
      </c>
      <c r="J2">
        <v>0.38500000000000001</v>
      </c>
    </row>
    <row r="3" spans="1:10" x14ac:dyDescent="0.3">
      <c r="A3">
        <v>35</v>
      </c>
      <c r="B3">
        <v>1</v>
      </c>
      <c r="C3">
        <v>20.949000000000002</v>
      </c>
      <c r="D3">
        <v>32.136000000000003</v>
      </c>
      <c r="E3">
        <v>0.73499999999999999</v>
      </c>
      <c r="F3">
        <v>1</v>
      </c>
      <c r="G3">
        <v>9.7390000000000008</v>
      </c>
      <c r="H3">
        <v>3.754</v>
      </c>
      <c r="I3">
        <v>1.623</v>
      </c>
      <c r="J3">
        <v>0.308</v>
      </c>
    </row>
    <row r="4" spans="1:10" x14ac:dyDescent="0.3">
      <c r="A4">
        <v>36</v>
      </c>
      <c r="B4">
        <v>1</v>
      </c>
      <c r="C4">
        <v>14.295</v>
      </c>
      <c r="D4">
        <v>27.286999999999999</v>
      </c>
      <c r="E4">
        <v>0.56599999999999995</v>
      </c>
      <c r="F4">
        <v>1</v>
      </c>
      <c r="G4">
        <v>6.9269999999999996</v>
      </c>
      <c r="H4">
        <v>4.3146000000000004</v>
      </c>
      <c r="I4">
        <v>1.7487999999999999</v>
      </c>
      <c r="J4">
        <v>0.23100000000000001</v>
      </c>
    </row>
    <row r="5" spans="1:10" x14ac:dyDescent="0.3">
      <c r="A5">
        <v>37</v>
      </c>
      <c r="B5">
        <v>1</v>
      </c>
      <c r="C5">
        <v>16.058</v>
      </c>
      <c r="D5">
        <v>25.663</v>
      </c>
      <c r="E5">
        <v>0.505</v>
      </c>
      <c r="F5">
        <v>1</v>
      </c>
      <c r="G5">
        <v>14.3504</v>
      </c>
      <c r="H5">
        <v>4.2610999999999999</v>
      </c>
      <c r="I5">
        <v>2.1796000000000002</v>
      </c>
      <c r="J5">
        <v>0.23100000000000001</v>
      </c>
    </row>
    <row r="6" spans="1:10" x14ac:dyDescent="0.3">
      <c r="A6">
        <v>38</v>
      </c>
      <c r="B6">
        <v>1</v>
      </c>
      <c r="C6">
        <v>14.256</v>
      </c>
      <c r="D6">
        <v>23.038</v>
      </c>
      <c r="E6">
        <v>0.52700000000000002</v>
      </c>
      <c r="F6">
        <v>1</v>
      </c>
      <c r="G6">
        <v>9.9792000000000005</v>
      </c>
      <c r="H6">
        <v>3.2519999999999998</v>
      </c>
      <c r="I6">
        <v>1.4731000000000001</v>
      </c>
      <c r="J6">
        <v>7.6999999999999999E-2</v>
      </c>
    </row>
    <row r="7" spans="1:10" x14ac:dyDescent="0.3">
      <c r="A7">
        <v>39</v>
      </c>
      <c r="B7">
        <v>1</v>
      </c>
      <c r="C7">
        <v>18.844000000000001</v>
      </c>
      <c r="D7">
        <v>28.148</v>
      </c>
      <c r="E7">
        <v>0.59</v>
      </c>
      <c r="F7">
        <v>1</v>
      </c>
      <c r="G7">
        <v>8.6455000000000002</v>
      </c>
      <c r="H7">
        <v>5.0766</v>
      </c>
      <c r="I7">
        <v>3.6615000000000002</v>
      </c>
      <c r="J7">
        <v>0.308</v>
      </c>
    </row>
    <row r="8" spans="1:10" x14ac:dyDescent="0.3">
      <c r="A8">
        <v>40</v>
      </c>
      <c r="B8">
        <v>1</v>
      </c>
      <c r="C8">
        <v>19.872</v>
      </c>
      <c r="D8">
        <v>31.488</v>
      </c>
      <c r="E8">
        <v>0.68600000000000005</v>
      </c>
      <c r="F8">
        <v>1</v>
      </c>
      <c r="G8">
        <v>7.7827000000000002</v>
      </c>
      <c r="H8">
        <v>4.2534999999999998</v>
      </c>
      <c r="I8">
        <v>3.5729000000000002</v>
      </c>
      <c r="J8">
        <v>0.38500000000000001</v>
      </c>
    </row>
    <row r="9" spans="1:10" x14ac:dyDescent="0.3">
      <c r="A9">
        <v>41</v>
      </c>
      <c r="B9">
        <v>1</v>
      </c>
      <c r="C9">
        <v>21.29</v>
      </c>
      <c r="D9">
        <v>30.218</v>
      </c>
      <c r="E9">
        <v>0.78</v>
      </c>
      <c r="F9">
        <v>1</v>
      </c>
      <c r="G9">
        <v>9.2850999999999999</v>
      </c>
      <c r="H9">
        <v>3.1777000000000002</v>
      </c>
      <c r="I9">
        <v>1.8788</v>
      </c>
      <c r="J9">
        <v>0.23100000000000001</v>
      </c>
    </row>
    <row r="10" spans="1:10" x14ac:dyDescent="0.3">
      <c r="A10">
        <v>42</v>
      </c>
      <c r="B10">
        <v>1</v>
      </c>
      <c r="C10">
        <v>24.917000000000002</v>
      </c>
      <c r="D10">
        <v>34.627000000000002</v>
      </c>
      <c r="E10">
        <v>0.84099999999999997</v>
      </c>
      <c r="F10">
        <v>1</v>
      </c>
      <c r="G10">
        <v>8.1926000000000005</v>
      </c>
      <c r="H10">
        <v>3.3637999999999999</v>
      </c>
      <c r="I10">
        <v>2.3277000000000001</v>
      </c>
      <c r="J10">
        <v>0.53800000000000003</v>
      </c>
    </row>
    <row r="11" spans="1:10" x14ac:dyDescent="0.3">
      <c r="A11">
        <v>43</v>
      </c>
      <c r="B11">
        <v>1</v>
      </c>
      <c r="C11">
        <v>15.298999999999999</v>
      </c>
      <c r="D11">
        <v>25.902000000000001</v>
      </c>
      <c r="E11">
        <v>0.51500000000000001</v>
      </c>
      <c r="F11">
        <v>1</v>
      </c>
      <c r="G11">
        <v>9.5589999999999993</v>
      </c>
      <c r="H11">
        <v>4.7755000000000001</v>
      </c>
      <c r="I11">
        <v>1.0458000000000001</v>
      </c>
      <c r="J11">
        <v>0.154</v>
      </c>
    </row>
    <row r="12" spans="1:10" x14ac:dyDescent="0.3">
      <c r="A12">
        <v>44</v>
      </c>
      <c r="B12">
        <v>1</v>
      </c>
      <c r="C12">
        <v>20.396999999999998</v>
      </c>
      <c r="D12">
        <v>29.858000000000001</v>
      </c>
      <c r="E12">
        <v>0.68600000000000005</v>
      </c>
      <c r="F12">
        <v>1</v>
      </c>
      <c r="G12">
        <v>7.5057999999999998</v>
      </c>
      <c r="H12">
        <v>3.5066999999999999</v>
      </c>
      <c r="I12">
        <v>1.1766000000000001</v>
      </c>
      <c r="J12">
        <v>0.154</v>
      </c>
    </row>
    <row r="13" spans="1:10" x14ac:dyDescent="0.3">
      <c r="A13">
        <v>45</v>
      </c>
      <c r="B13">
        <v>1</v>
      </c>
      <c r="C13">
        <v>21.056000000000001</v>
      </c>
      <c r="D13">
        <v>31.279</v>
      </c>
      <c r="E13">
        <v>0.73</v>
      </c>
      <c r="F13">
        <v>1</v>
      </c>
      <c r="G13">
        <v>7.0023</v>
      </c>
      <c r="H13">
        <v>4.3491</v>
      </c>
      <c r="I13">
        <v>2.0897000000000001</v>
      </c>
      <c r="J13">
        <v>0.154</v>
      </c>
    </row>
    <row r="14" spans="1:10" x14ac:dyDescent="0.3">
      <c r="A14">
        <v>46</v>
      </c>
      <c r="B14">
        <v>1</v>
      </c>
      <c r="C14">
        <v>20.852</v>
      </c>
      <c r="D14">
        <v>31.155999999999999</v>
      </c>
      <c r="E14">
        <v>0.72199999999999998</v>
      </c>
      <c r="F14">
        <v>1</v>
      </c>
      <c r="G14">
        <v>7.6620999999999997</v>
      </c>
      <c r="H14">
        <v>3.7688000000000001</v>
      </c>
      <c r="I14">
        <v>2.8294999999999999</v>
      </c>
      <c r="J14">
        <v>0.23100000000000001</v>
      </c>
    </row>
    <row r="15" spans="1:10" x14ac:dyDescent="0.3">
      <c r="A15">
        <v>47</v>
      </c>
      <c r="B15">
        <v>1</v>
      </c>
      <c r="C15">
        <v>20.332000000000001</v>
      </c>
      <c r="D15">
        <v>31.26</v>
      </c>
      <c r="E15">
        <v>0.69199999999999995</v>
      </c>
      <c r="F15">
        <v>1</v>
      </c>
      <c r="G15">
        <v>9.0823999999999998</v>
      </c>
      <c r="H15">
        <v>3.4108999999999998</v>
      </c>
      <c r="I15">
        <v>3.0985999999999998</v>
      </c>
      <c r="J15">
        <v>7.6999999999999999E-2</v>
      </c>
    </row>
    <row r="16" spans="1:10" x14ac:dyDescent="0.3">
      <c r="A16">
        <v>48</v>
      </c>
      <c r="B16">
        <v>1</v>
      </c>
      <c r="C16">
        <v>23.152000000000001</v>
      </c>
      <c r="D16">
        <v>32.42</v>
      </c>
      <c r="E16">
        <v>0.77</v>
      </c>
      <c r="F16">
        <v>1</v>
      </c>
      <c r="G16">
        <v>8.3844999999999992</v>
      </c>
      <c r="H16">
        <v>3.2132999999999998</v>
      </c>
      <c r="I16">
        <v>4.1032999999999999</v>
      </c>
      <c r="J16">
        <v>0.23100000000000001</v>
      </c>
    </row>
    <row r="17" spans="1:10" x14ac:dyDescent="0.3">
      <c r="A17">
        <v>49</v>
      </c>
      <c r="B17">
        <v>1</v>
      </c>
      <c r="C17">
        <v>25.58</v>
      </c>
      <c r="D17">
        <v>36.188000000000002</v>
      </c>
      <c r="E17">
        <v>1</v>
      </c>
      <c r="F17">
        <v>0</v>
      </c>
      <c r="G17">
        <v>9.9341000000000008</v>
      </c>
      <c r="H17">
        <v>4.9074</v>
      </c>
      <c r="I17">
        <v>4.9648000000000003</v>
      </c>
      <c r="J17">
        <v>0.53800000000000003</v>
      </c>
    </row>
    <row r="18" spans="1:10" x14ac:dyDescent="0.3">
      <c r="A18">
        <v>49</v>
      </c>
      <c r="B18">
        <v>2</v>
      </c>
      <c r="C18">
        <v>26.867000000000001</v>
      </c>
      <c r="D18">
        <v>76.974999999999994</v>
      </c>
      <c r="E18">
        <v>0.97299999999999998</v>
      </c>
      <c r="F18">
        <v>1</v>
      </c>
      <c r="G18">
        <v>8.8613999999999997</v>
      </c>
      <c r="H18">
        <v>3.8363999999999998</v>
      </c>
      <c r="I18">
        <v>1.5631999999999999</v>
      </c>
      <c r="J18">
        <v>0.308</v>
      </c>
    </row>
    <row r="19" spans="1:10" x14ac:dyDescent="0.3">
      <c r="A19">
        <v>50</v>
      </c>
      <c r="B19">
        <v>1</v>
      </c>
      <c r="C19">
        <v>21.385000000000002</v>
      </c>
      <c r="D19">
        <v>31.177</v>
      </c>
      <c r="E19">
        <v>0.749</v>
      </c>
      <c r="F19">
        <v>1</v>
      </c>
      <c r="G19">
        <v>7.9267000000000003</v>
      </c>
      <c r="H19">
        <v>2.9214000000000002</v>
      </c>
      <c r="I19">
        <v>1.4029</v>
      </c>
      <c r="J19">
        <v>0.23100000000000001</v>
      </c>
    </row>
    <row r="20" spans="1:10" x14ac:dyDescent="0.3">
      <c r="A20">
        <v>51</v>
      </c>
      <c r="B20">
        <v>1</v>
      </c>
      <c r="C20">
        <v>25.545000000000002</v>
      </c>
      <c r="D20">
        <v>34.820999999999998</v>
      </c>
      <c r="E20">
        <v>0.80200000000000005</v>
      </c>
      <c r="F20">
        <v>1</v>
      </c>
      <c r="G20">
        <v>10.3932</v>
      </c>
      <c r="H20">
        <v>3.9386000000000001</v>
      </c>
      <c r="I20">
        <v>3.3666</v>
      </c>
      <c r="J20">
        <v>0.46200000000000002</v>
      </c>
    </row>
    <row r="21" spans="1:10" x14ac:dyDescent="0.3">
      <c r="A21">
        <v>52</v>
      </c>
      <c r="B21">
        <v>1</v>
      </c>
      <c r="C21">
        <v>28.916</v>
      </c>
      <c r="D21">
        <v>38.271000000000001</v>
      </c>
      <c r="E21">
        <v>1</v>
      </c>
      <c r="F21">
        <v>1</v>
      </c>
      <c r="G21">
        <v>8.1686999999999994</v>
      </c>
      <c r="H21">
        <v>4.0877999999999997</v>
      </c>
      <c r="I21">
        <v>3.7004000000000001</v>
      </c>
      <c r="J21">
        <v>0.38500000000000001</v>
      </c>
    </row>
    <row r="22" spans="1:10" x14ac:dyDescent="0.3">
      <c r="A22">
        <v>53</v>
      </c>
      <c r="B22">
        <v>1</v>
      </c>
      <c r="C22">
        <v>25.350999999999999</v>
      </c>
      <c r="D22">
        <v>34.274999999999999</v>
      </c>
      <c r="E22">
        <v>0.98799999999999999</v>
      </c>
      <c r="F22">
        <v>1</v>
      </c>
      <c r="G22">
        <v>7.2988</v>
      </c>
      <c r="H22">
        <v>4.2854000000000001</v>
      </c>
      <c r="I22">
        <v>1.9329000000000001</v>
      </c>
      <c r="J22">
        <v>0.308</v>
      </c>
    </row>
    <row r="23" spans="1:10" x14ac:dyDescent="0.3">
      <c r="A23">
        <v>54</v>
      </c>
      <c r="B23">
        <v>1</v>
      </c>
      <c r="C23">
        <v>25.72</v>
      </c>
      <c r="D23">
        <v>35.509</v>
      </c>
      <c r="E23">
        <v>1</v>
      </c>
      <c r="F23">
        <v>0</v>
      </c>
      <c r="G23">
        <v>10.7834</v>
      </c>
      <c r="H23">
        <v>3.8148</v>
      </c>
      <c r="I23">
        <v>3.2658999999999998</v>
      </c>
      <c r="J23">
        <v>0.23100000000000001</v>
      </c>
    </row>
    <row r="24" spans="1:10" x14ac:dyDescent="0.3">
      <c r="A24">
        <v>54</v>
      </c>
      <c r="B24">
        <v>2</v>
      </c>
      <c r="C24">
        <v>21.957999999999998</v>
      </c>
      <c r="D24">
        <v>71.427000000000007</v>
      </c>
      <c r="E24">
        <v>0.65</v>
      </c>
      <c r="F24">
        <v>1</v>
      </c>
      <c r="G24">
        <v>11.6751</v>
      </c>
      <c r="H24">
        <v>5.0651999999999999</v>
      </c>
      <c r="I24">
        <v>1.5028999999999999</v>
      </c>
      <c r="J24">
        <v>0.23100000000000001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"/>
  <sheetViews>
    <sheetView workbookViewId="0">
      <selection activeCell="C1" sqref="C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>
        <v>1</v>
      </c>
      <c r="C2">
        <v>25.12</v>
      </c>
      <c r="D2">
        <v>400.36200000000002</v>
      </c>
      <c r="E2">
        <v>1</v>
      </c>
      <c r="F2">
        <v>0</v>
      </c>
      <c r="G2">
        <v>10.0205</v>
      </c>
      <c r="H2">
        <v>5.0072000000000001</v>
      </c>
      <c r="I2">
        <v>4.2595999999999998</v>
      </c>
      <c r="J2">
        <v>0.308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9360-C16A-4136-80AB-B2EB75417FFA}">
  <dimension ref="A1:J20"/>
  <sheetViews>
    <sheetView tabSelected="1" workbookViewId="0">
      <selection activeCell="D19" sqref="D19"/>
    </sheetView>
  </sheetViews>
  <sheetFormatPr defaultRowHeight="14.4" x14ac:dyDescent="0.3"/>
  <cols>
    <col min="1" max="9" width="20.6640625" customWidth="1"/>
  </cols>
  <sheetData>
    <row r="1" spans="1:10" x14ac:dyDescent="0.3">
      <c r="A1" s="2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7" t="s">
        <v>29</v>
      </c>
    </row>
    <row r="2" spans="1:10" x14ac:dyDescent="0.3">
      <c r="A2" s="3" t="s">
        <v>11</v>
      </c>
      <c r="B2">
        <f>AVERAGE(AlexVargas!C:C)</f>
        <v>17.031000000000002</v>
      </c>
      <c r="C2">
        <f>AVERAGE(AlexVargas!D:D)</f>
        <v>32.941499999999998</v>
      </c>
      <c r="D2">
        <f>AVERAGE(AlexVargas!E:E)</f>
        <v>0.63450000000000006</v>
      </c>
      <c r="E2">
        <f>AVERAGE(AlexVargas!F:F)</f>
        <v>1</v>
      </c>
      <c r="F2">
        <f>AVERAGE(AlexVargas!G:G)</f>
        <v>10.795400000000001</v>
      </c>
      <c r="G2">
        <f>AVERAGE(AlexVargas!H:H)</f>
        <v>4.8765000000000001</v>
      </c>
      <c r="H2">
        <f>AVERAGE(AlexVargas!I:I)</f>
        <v>5.4647249999999996</v>
      </c>
      <c r="I2">
        <f>AVERAGE(AlexVargas!J:J)</f>
        <v>0.17325000000000002</v>
      </c>
      <c r="J2">
        <v>0</v>
      </c>
    </row>
    <row r="3" spans="1:10" x14ac:dyDescent="0.3">
      <c r="A3" s="3" t="s">
        <v>12</v>
      </c>
      <c r="B3">
        <f>AVERAGE(AntoFlores!C:C)</f>
        <v>20.630842105263156</v>
      </c>
      <c r="C3">
        <f>AVERAGE(AntoFlores!D:D)</f>
        <v>45.101631578947369</v>
      </c>
      <c r="D3">
        <f>AVERAGE(AntoFlores!E:E)</f>
        <v>0.72878947368421054</v>
      </c>
      <c r="E3">
        <f>AVERAGE(AntoFlores!F:F)</f>
        <v>0.78947368421052633</v>
      </c>
      <c r="F3">
        <f>AVERAGE(AntoFlores!G:G)</f>
        <v>9.1304210526315774</v>
      </c>
      <c r="G3">
        <f>AVERAGE(AntoFlores!H:H)</f>
        <v>4.4306263157894747</v>
      </c>
      <c r="H3">
        <f>AVERAGE(AntoFlores!I:I)</f>
        <v>1.9293210526315785</v>
      </c>
      <c r="I3">
        <f>AVERAGE(AntoFlores!J:J)</f>
        <v>0.25526315789473686</v>
      </c>
      <c r="J3">
        <v>0</v>
      </c>
    </row>
    <row r="4" spans="1:10" x14ac:dyDescent="0.3">
      <c r="A4" s="3" t="s">
        <v>13</v>
      </c>
      <c r="B4">
        <f>AVERAGE(BenjaCarrasco!C:C)</f>
        <v>20.783666666666665</v>
      </c>
      <c r="C4">
        <f>AVERAGE(BenjaCarrasco!D:D)</f>
        <v>41.077666666666666</v>
      </c>
      <c r="D4">
        <f>AVERAGE(BenjaCarrasco!E:E)</f>
        <v>0.76466666666666672</v>
      </c>
      <c r="E4">
        <f>AVERAGE(BenjaCarrasco!F:F)</f>
        <v>0.66666666666666663</v>
      </c>
      <c r="F4">
        <f>AVERAGE(BenjaCarrasco!G:G)</f>
        <v>7.8354333333333335</v>
      </c>
      <c r="G4">
        <f>AVERAGE(BenjaCarrasco!H:H)</f>
        <v>3.9490333333333338</v>
      </c>
      <c r="H4">
        <f>AVERAGE(BenjaCarrasco!I:I)</f>
        <v>5.8978000000000002</v>
      </c>
      <c r="I4">
        <f>AVERAGE(BenjaCarrasco!J:J)</f>
        <v>0.17966666666666667</v>
      </c>
      <c r="J4">
        <v>0</v>
      </c>
    </row>
    <row r="5" spans="1:10" x14ac:dyDescent="0.3">
      <c r="A5" s="3" t="s">
        <v>14</v>
      </c>
      <c r="B5">
        <f>AVERAGE(CamilaCarrascoBaier!C:C)</f>
        <v>11.7974</v>
      </c>
      <c r="C5">
        <f>AVERAGE(CamilaCarrascoBaier!D:D)</f>
        <v>23.613533333333329</v>
      </c>
      <c r="D5">
        <f>AVERAGE(CamilaCarrascoBaier!E:E)</f>
        <v>0.49426666666666663</v>
      </c>
      <c r="E5">
        <f>AVERAGE(CamilaCarrascoBaier!F:F)</f>
        <v>0.93333333333333335</v>
      </c>
      <c r="F5">
        <f>AVERAGE(CamilaCarrascoBaier!G:G)</f>
        <v>7.7123533333333318</v>
      </c>
      <c r="G5">
        <f>AVERAGE(CamilaCarrascoBaier!H:H)</f>
        <v>3.9873000000000003</v>
      </c>
      <c r="H5">
        <f>AVERAGE(CamilaCarrascoBaier!I:I)</f>
        <v>2.0566733333333334</v>
      </c>
      <c r="I5">
        <f>AVERAGE(CamilaCarrascoBaier!J:J)</f>
        <v>0.1232</v>
      </c>
      <c r="J5">
        <v>0</v>
      </c>
    </row>
    <row r="6" spans="1:10" x14ac:dyDescent="0.3">
      <c r="A6" s="3" t="s">
        <v>15</v>
      </c>
      <c r="B6">
        <f>AVERAGE(CataAguilar!C:C)</f>
        <v>18.652095238095235</v>
      </c>
      <c r="C6">
        <f>AVERAGE(CataAguilar!D:D)</f>
        <v>46.266952380952382</v>
      </c>
      <c r="D6">
        <f>AVERAGE(CataAguilar!E:E)</f>
        <v>0.68690476190476191</v>
      </c>
      <c r="E6">
        <f>AVERAGE(CataAguilar!F:F)</f>
        <v>0.76190476190476186</v>
      </c>
      <c r="F6">
        <f>AVERAGE(CataAguilar!G:G)</f>
        <v>9.0116047619047634</v>
      </c>
      <c r="G6">
        <f>AVERAGE(CataAguilar!H:H)</f>
        <v>4.7764523809523807</v>
      </c>
      <c r="H6">
        <f>AVERAGE(CataAguilar!I:I)</f>
        <v>3.5160857142857145</v>
      </c>
      <c r="I6">
        <f>AVERAGE(CataAguilar!J:J)</f>
        <v>0.24190476190476187</v>
      </c>
      <c r="J6">
        <v>0</v>
      </c>
    </row>
    <row r="7" spans="1:10" x14ac:dyDescent="0.3">
      <c r="A7" s="3" t="s">
        <v>16</v>
      </c>
      <c r="B7">
        <f>AVERAGE(DiegoContreras!C:C)</f>
        <v>17.860749999999999</v>
      </c>
      <c r="C7">
        <f>AVERAGE(DiegoContreras!D:D)</f>
        <v>47.022750000000002</v>
      </c>
      <c r="D7">
        <f>AVERAGE(DiegoContreras!E:E)</f>
        <v>0.65575000000000006</v>
      </c>
      <c r="E7">
        <f>AVERAGE(DiegoContreras!F:F)</f>
        <v>1</v>
      </c>
      <c r="F7">
        <f>AVERAGE(DiegoContreras!G:G)</f>
        <v>11.855824999999999</v>
      </c>
      <c r="G7">
        <f>AVERAGE(DiegoContreras!H:H)</f>
        <v>4.3841749999999999</v>
      </c>
      <c r="H7">
        <f>AVERAGE(DiegoContreras!I:I)</f>
        <v>2.389875</v>
      </c>
      <c r="I7">
        <f>AVERAGE(DiegoContreras!J:J)</f>
        <v>0.154</v>
      </c>
      <c r="J7">
        <v>0</v>
      </c>
    </row>
    <row r="8" spans="1:10" x14ac:dyDescent="0.3">
      <c r="A8" s="3" t="s">
        <v>17</v>
      </c>
      <c r="J8">
        <v>0</v>
      </c>
    </row>
    <row r="9" spans="1:10" x14ac:dyDescent="0.3">
      <c r="A9" s="3" t="s">
        <v>18</v>
      </c>
      <c r="J9">
        <v>0</v>
      </c>
    </row>
    <row r="10" spans="1:10" x14ac:dyDescent="0.3">
      <c r="A10" s="3" t="s">
        <v>19</v>
      </c>
      <c r="B10">
        <f>AVERAGE(LourdesArtigas!C:C)</f>
        <v>21.145166666666668</v>
      </c>
      <c r="C10">
        <f>AVERAGE(LourdesArtigas!D:D)</f>
        <v>84.514166666666668</v>
      </c>
      <c r="D10">
        <f>AVERAGE(LourdesArtigas!E:E)</f>
        <v>0.82416666666666671</v>
      </c>
      <c r="E10">
        <f>AVERAGE(LourdesArtigas!F:F)</f>
        <v>0.33333333333333331</v>
      </c>
      <c r="F10">
        <f>AVERAGE(LourdesArtigas!G:G)</f>
        <v>8.8428000000000004</v>
      </c>
      <c r="G10">
        <f>AVERAGE(LourdesArtigas!H:H)</f>
        <v>4.3810833333333337</v>
      </c>
      <c r="H10">
        <f>AVERAGE(LourdesArtigas!I:I)</f>
        <v>2.5819333333333332</v>
      </c>
      <c r="I10">
        <f>AVERAGE(LourdesArtigas!J:J)</f>
        <v>0.20533333333333337</v>
      </c>
      <c r="J10">
        <v>0</v>
      </c>
    </row>
    <row r="11" spans="1:10" x14ac:dyDescent="0.3">
      <c r="A11" s="3" t="s">
        <v>20</v>
      </c>
      <c r="B11">
        <f>AVERAGE(Pantrucas!C:C)</f>
        <v>15.178000000000001</v>
      </c>
      <c r="C11">
        <f>AVERAGE(Pantrucas!D:D)</f>
        <v>45.762500000000003</v>
      </c>
      <c r="D11">
        <f>AVERAGE(Pantrucas!E:E)</f>
        <v>0.56399999999999995</v>
      </c>
      <c r="E11">
        <f>AVERAGE(Pantrucas!F:F)</f>
        <v>1</v>
      </c>
      <c r="F11">
        <f>AVERAGE(Pantrucas!G:G)</f>
        <v>10.3506</v>
      </c>
      <c r="G11">
        <f>AVERAGE(Pantrucas!H:H)</f>
        <v>5.5357000000000003</v>
      </c>
      <c r="H11">
        <f>AVERAGE(Pantrucas!I:I)</f>
        <v>2.6806000000000001</v>
      </c>
      <c r="I11">
        <f>AVERAGE(Pantrucas!J:J)</f>
        <v>0.154</v>
      </c>
      <c r="J11">
        <v>0</v>
      </c>
    </row>
    <row r="12" spans="1:10" x14ac:dyDescent="0.3">
      <c r="A12" s="3" t="s">
        <v>21</v>
      </c>
      <c r="B12">
        <f>AVERAGE(Sepumae!C:C)</f>
        <v>8.0220000000000002</v>
      </c>
      <c r="C12">
        <f>AVERAGE(Sepumae!D:D)</f>
        <v>60.995000000000005</v>
      </c>
      <c r="D12">
        <f>AVERAGE(Sepumae!E:E)</f>
        <v>0.38600000000000001</v>
      </c>
      <c r="E12">
        <f>AVERAGE(Sepumae!F:F)</f>
        <v>1</v>
      </c>
      <c r="F12">
        <f>AVERAGE(Sepumae!G:G)</f>
        <v>6.3496500000000005</v>
      </c>
      <c r="G12">
        <f>AVERAGE(Sepumae!H:H)</f>
        <v>4.48935</v>
      </c>
      <c r="H12">
        <f>AVERAGE(Sepumae!I:I)</f>
        <v>2.0991</v>
      </c>
      <c r="I12">
        <f>AVERAGE(Sepumae!J:J)</f>
        <v>7.6999999999999999E-2</v>
      </c>
      <c r="J12">
        <v>0</v>
      </c>
    </row>
    <row r="13" spans="1:10" x14ac:dyDescent="0.3">
      <c r="A13" s="3" t="s">
        <v>22</v>
      </c>
      <c r="B13">
        <f>AVERAGE(VicenteFigueroa!C:C)</f>
        <v>20.162399999999998</v>
      </c>
      <c r="C13">
        <f>AVERAGE(VicenteFigueroa!D:D)</f>
        <v>35.8078</v>
      </c>
      <c r="D13">
        <f>AVERAGE(VicenteFigueroa!E:E)</f>
        <v>0.70960000000000001</v>
      </c>
      <c r="E13">
        <f>AVERAGE(VicenteFigueroa!F:F)</f>
        <v>1</v>
      </c>
      <c r="F13">
        <f>AVERAGE(VicenteFigueroa!G:G)</f>
        <v>8.0595800000000004</v>
      </c>
      <c r="G13">
        <f>AVERAGE(VicenteFigueroa!H:H)</f>
        <v>5.5888200000000001</v>
      </c>
      <c r="H13">
        <f>AVERAGE(VicenteFigueroa!I:I)</f>
        <v>5.2971799999999991</v>
      </c>
      <c r="I13">
        <f>AVERAGE(VicenteFigueroa!J:J)</f>
        <v>0.26180000000000003</v>
      </c>
      <c r="J13">
        <v>0</v>
      </c>
    </row>
    <row r="14" spans="1:10" x14ac:dyDescent="0.3">
      <c r="A14" s="3" t="s">
        <v>23</v>
      </c>
      <c r="B14">
        <f>AVERAGE(VicenteHernandez!C:C)</f>
        <v>20.902100000000001</v>
      </c>
      <c r="C14">
        <f>AVERAGE(VicenteHernandez!D:D)</f>
        <v>53.401499999999999</v>
      </c>
      <c r="D14">
        <f>AVERAGE(VicenteHernandez!E:E)</f>
        <v>0.71730000000000005</v>
      </c>
      <c r="E14">
        <f>AVERAGE(VicenteHernandez!F:F)</f>
        <v>0.7</v>
      </c>
      <c r="F14">
        <f>AVERAGE(VicenteHernandez!G:G)</f>
        <v>11.4702</v>
      </c>
      <c r="G14">
        <f>AVERAGE(VicenteHernandez!H:H)</f>
        <v>4.5313500000000007</v>
      </c>
      <c r="H14">
        <f>AVERAGE(VicenteHernandez!I:I)</f>
        <v>3.7572500000000004</v>
      </c>
      <c r="I14">
        <f>AVERAGE(VicenteHernandez!J:J)</f>
        <v>0.1232</v>
      </c>
      <c r="J14">
        <v>0</v>
      </c>
    </row>
    <row r="15" spans="1:10" x14ac:dyDescent="0.3">
      <c r="A15" s="3" t="s">
        <v>24</v>
      </c>
      <c r="B15">
        <f>AVERAGE(VicenteLineros!C:C)</f>
        <v>21.44886956521739</v>
      </c>
      <c r="C15">
        <f>AVERAGE(VicenteLineros!D:D)</f>
        <v>36.091043478260872</v>
      </c>
      <c r="D15">
        <f>AVERAGE(VicenteLineros!E:E)</f>
        <v>0.74334782608695638</v>
      </c>
      <c r="E15">
        <f>AVERAGE(VicenteLineros!F:F)</f>
        <v>0.91304347826086951</v>
      </c>
      <c r="F15">
        <f>AVERAGE(VicenteLineros!G:G)</f>
        <v>9.1546695652173931</v>
      </c>
      <c r="G15">
        <f>AVERAGE(VicenteLineros!H:H)</f>
        <v>4.0432739130434783</v>
      </c>
      <c r="H15">
        <f>AVERAGE(VicenteLineros!I:I)</f>
        <v>2.4784565217391306</v>
      </c>
      <c r="I15">
        <f>AVERAGE(VicenteLineros!J:J)</f>
        <v>0.27778260869565213</v>
      </c>
      <c r="J15">
        <v>0</v>
      </c>
    </row>
    <row r="16" spans="1:10" x14ac:dyDescent="0.3">
      <c r="A16" s="3" t="s">
        <v>25</v>
      </c>
      <c r="B16">
        <f>AVERAGE(yoelchupa!C:C)</f>
        <v>25.12</v>
      </c>
      <c r="C16">
        <f>AVERAGE(yoelchupa!D:D)</f>
        <v>400.36200000000002</v>
      </c>
      <c r="D16">
        <f>AVERAGE(yoelchupa!E:E)</f>
        <v>1</v>
      </c>
      <c r="E16">
        <f>AVERAGE(yoelchupa!F:F)</f>
        <v>0</v>
      </c>
      <c r="F16">
        <f>AVERAGE(yoelchupa!G:G)</f>
        <v>10.0205</v>
      </c>
      <c r="G16">
        <f>AVERAGE(yoelchupa!H:H)</f>
        <v>5.0072000000000001</v>
      </c>
      <c r="H16">
        <f>AVERAGE(yoelchupa!I:I)</f>
        <v>4.2595999999999998</v>
      </c>
      <c r="I16">
        <f>AVERAGE(yoelchupa!J:J)</f>
        <v>0.308</v>
      </c>
      <c r="J16">
        <v>0</v>
      </c>
    </row>
    <row r="18" spans="1:9" ht="43.2" x14ac:dyDescent="0.3">
      <c r="A18" s="4" t="s">
        <v>26</v>
      </c>
      <c r="B18" s="8">
        <f>_xlfn.PERCENTILE.EXC(B2:B16,0.5)</f>
        <v>20.162399999999998</v>
      </c>
      <c r="C18" s="8">
        <f t="shared" ref="C18:I18" si="0">_xlfn.PERCENTILE.EXC(C2:C16,0.5)</f>
        <v>45.762500000000003</v>
      </c>
      <c r="D18" s="8">
        <f t="shared" si="0"/>
        <v>0.70960000000000001</v>
      </c>
      <c r="E18" s="8">
        <f t="shared" si="0"/>
        <v>0.91304347826086951</v>
      </c>
      <c r="F18" s="8">
        <f t="shared" si="0"/>
        <v>9.1304210526315774</v>
      </c>
      <c r="G18" s="8">
        <f t="shared" si="0"/>
        <v>4.48935</v>
      </c>
      <c r="H18" s="8">
        <f t="shared" si="0"/>
        <v>2.6806000000000001</v>
      </c>
      <c r="I18" s="8">
        <f t="shared" si="0"/>
        <v>0.17966666666666667</v>
      </c>
    </row>
    <row r="19" spans="1:9" ht="57.6" x14ac:dyDescent="0.3">
      <c r="A19" s="5" t="s">
        <v>27</v>
      </c>
      <c r="B19" s="9">
        <f>_xlfn.PERCENTILE.EXC(B2:B16,0.75)</f>
        <v>21.023633333333336</v>
      </c>
      <c r="C19" s="9">
        <f t="shared" ref="C19:H19" si="1">_xlfn.PERCENTILE.EXC(C2:C16,0.75)</f>
        <v>57.198250000000002</v>
      </c>
      <c r="D19" s="9">
        <f t="shared" si="1"/>
        <v>0.75400724637681149</v>
      </c>
      <c r="E19" s="9">
        <f t="shared" si="1"/>
        <v>1</v>
      </c>
      <c r="F19" s="9">
        <f t="shared" si="1"/>
        <v>10.573</v>
      </c>
      <c r="G19" s="9">
        <f t="shared" si="1"/>
        <v>4.9418500000000005</v>
      </c>
      <c r="H19" s="9">
        <f t="shared" si="1"/>
        <v>4.7783899999999999</v>
      </c>
      <c r="I19" s="9">
        <f>_xlfn.PERCENTILE.EXC(I2:I16,0.75)</f>
        <v>0.25853157894736845</v>
      </c>
    </row>
    <row r="20" spans="1:9" ht="43.2" x14ac:dyDescent="0.3">
      <c r="A20" s="6" t="s">
        <v>28</v>
      </c>
      <c r="B20" s="10">
        <f>_xlfn.PERCENTILE.EXC(B2:B16,0.9)</f>
        <v>23.651547826086954</v>
      </c>
      <c r="C20" s="10">
        <f t="shared" ref="C20:I20" si="2">_xlfn.PERCENTILE.EXC(C2:C16,0.9)</f>
        <v>274.02286666666657</v>
      </c>
      <c r="D20" s="10">
        <f t="shared" si="2"/>
        <v>0.92966666666666664</v>
      </c>
      <c r="E20" s="10">
        <f t="shared" si="2"/>
        <v>1</v>
      </c>
      <c r="F20" s="10">
        <f t="shared" si="2"/>
        <v>11.701575</v>
      </c>
      <c r="G20" s="10">
        <f t="shared" si="2"/>
        <v>5.5675720000000002</v>
      </c>
      <c r="H20" s="10">
        <f t="shared" si="2"/>
        <v>5.7245699999999999</v>
      </c>
      <c r="I20" s="10">
        <f t="shared" si="2"/>
        <v>0.29591304347826086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Thersholds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2026-02-17T00:03:15Z</dcterms:created>
  <dcterms:modified xsi:type="dcterms:W3CDTF">2026-02-17T06:04:34Z</dcterms:modified>
</cp:coreProperties>
</file>