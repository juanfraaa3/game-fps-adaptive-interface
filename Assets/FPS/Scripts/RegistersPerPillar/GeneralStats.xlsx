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"/>
    </mc:Choice>
  </mc:AlternateContent>
  <xr:revisionPtr revIDLastSave="0" documentId="13_ncr:1_{A4AC9753-FCBF-4B7D-AA6E-456C9BFEBB60}" xr6:coauthVersionLast="47" xr6:coauthVersionMax="47" xr10:uidLastSave="{00000000-0000-0000-0000-000000000000}"/>
  <bookViews>
    <workbookView xWindow="-108" yWindow="-108" windowWidth="23256" windowHeight="13176" firstSheet="10" activeTab="15" xr2:uid="{00000000-000D-0000-FFFF-FFFF00000000}"/>
  </bookViews>
  <sheets>
    <sheet name="AlexVargas" sheetId="1" r:id="rId1"/>
    <sheet name="AntoFlores" sheetId="2" r:id="rId2"/>
    <sheet name="BenjaCarrasco" sheetId="3" r:id="rId3"/>
    <sheet name="CamilaCarrascoBaier" sheetId="4" r:id="rId4"/>
    <sheet name="CataAguilar" sheetId="5" r:id="rId5"/>
    <sheet name="DiegoContreras" sheetId="6" r:id="rId6"/>
    <sheet name="FranPerez" sheetId="7" r:id="rId7"/>
    <sheet name="JoaquinAguilar" sheetId="8" r:id="rId8"/>
    <sheet name="LourdesArtigas" sheetId="9" r:id="rId9"/>
    <sheet name="Pantrucas" sheetId="10" r:id="rId10"/>
    <sheet name="Sepumae" sheetId="11" r:id="rId11"/>
    <sheet name="VicenteFigueroa" sheetId="12" r:id="rId12"/>
    <sheet name="VicenteHernandez" sheetId="13" r:id="rId13"/>
    <sheet name="VicenteLineros" sheetId="14" r:id="rId14"/>
    <sheet name="yoelchupa" sheetId="15" r:id="rId15"/>
    <sheet name="Threshold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6" l="1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B20" i="16"/>
  <c r="B19" i="16"/>
  <c r="B18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B16" i="16"/>
</calcChain>
</file>

<file path=xl/sharedStrings.xml><?xml version="1.0" encoding="utf-8"?>
<sst xmlns="http://schemas.openxmlformats.org/spreadsheetml/2006/main" count="502" uniqueCount="51">
  <si>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</si>
  <si>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</si>
  <si>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</si>
  <si>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</si>
  <si>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</si>
  <si>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</si>
  <si>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</si>
  <si>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</si>
  <si>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</si>
  <si>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</si>
  <si>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</si>
  <si>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</si>
  <si>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</si>
  <si>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</si>
  <si>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</si>
  <si>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</si>
  <si>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</si>
  <si>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</si>
  <si>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</si>
  <si>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</si>
  <si>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</si>
  <si>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Checkpoint_2</t>
  </si>
  <si>
    <t>Checkpoint_3</t>
  </si>
  <si>
    <t>Checkpoint_4</t>
  </si>
  <si>
    <t>Checkpoint_5</t>
  </si>
  <si>
    <t>Checkpoint_6</t>
  </si>
  <si>
    <t>Checkpoint_7</t>
  </si>
  <si>
    <t>Checkpoint_8</t>
  </si>
  <si>
    <t>Checkpoint_9</t>
  </si>
  <si>
    <t>Checkpoint_10</t>
  </si>
  <si>
    <t>Final_Level</t>
  </si>
  <si>
    <t>Final</t>
  </si>
  <si>
    <t>Jugador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</si>
  <si>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</si>
  <si>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</si>
  <si>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</si>
  <si>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</si>
  <si>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</si>
  <si>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</si>
  <si>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</si>
  <si>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</si>
  <si>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</si>
  <si>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</si>
  <si>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</si>
  <si>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</si>
  <si>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Jug13</t>
  </si>
  <si>
    <t>Jug14</t>
  </si>
  <si>
    <t>Jug15</t>
  </si>
  <si>
    <t>Percentil50 (comun)</t>
  </si>
  <si>
    <t>Percentil75 (activacion)</t>
  </si>
  <si>
    <t>Percentil90 (critico)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</si>
</sst>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110.62</v>
      </c>
      <c r="C3">
        <v>110.62</v>
      </c>
      <c r="D3">
        <v>0</v>
      </c>
      <c r="E3">
        <v>0</v>
      </c>
      <c r="F3">
        <v>0</v>
      </c>
      <c r="G3">
        <v>0</v>
      </c>
      <c r="H3">
        <v>6</v>
      </c>
      <c r="I3">
        <v>116</v>
      </c>
      <c r="J3">
        <v>42</v>
      </c>
      <c r="K3">
        <v>74</v>
      </c>
      <c r="L3">
        <v>36.200000000000003</v>
      </c>
      <c r="M3">
        <v>0</v>
      </c>
      <c r="N3">
        <v>0</v>
      </c>
      <c r="O3">
        <v>0</v>
      </c>
      <c r="P3">
        <v>0</v>
      </c>
      <c r="Q3">
        <v>116</v>
      </c>
      <c r="R3">
        <v>42</v>
      </c>
      <c r="S3">
        <v>74</v>
      </c>
      <c r="T3">
        <v>36.200000000000003</v>
      </c>
    </row>
    <row r="4" spans="1:20" x14ac:dyDescent="0.3">
      <c r="A4" t="s">
        <v>22</v>
      </c>
      <c r="B4">
        <v>175.28</v>
      </c>
      <c r="C4">
        <v>64.66</v>
      </c>
      <c r="D4">
        <v>1</v>
      </c>
      <c r="E4">
        <v>1</v>
      </c>
      <c r="F4">
        <v>1</v>
      </c>
      <c r="G4">
        <v>0</v>
      </c>
      <c r="H4">
        <v>0</v>
      </c>
      <c r="I4">
        <v>111</v>
      </c>
      <c r="J4">
        <v>51</v>
      </c>
      <c r="K4">
        <v>60</v>
      </c>
      <c r="L4">
        <v>45.9</v>
      </c>
      <c r="M4">
        <v>0</v>
      </c>
      <c r="N4">
        <v>0</v>
      </c>
      <c r="O4">
        <v>0</v>
      </c>
      <c r="P4">
        <v>0</v>
      </c>
      <c r="Q4">
        <v>111</v>
      </c>
      <c r="R4">
        <v>51</v>
      </c>
      <c r="S4">
        <v>60</v>
      </c>
      <c r="T4">
        <v>45.9</v>
      </c>
    </row>
    <row r="5" spans="1:20" x14ac:dyDescent="0.3">
      <c r="A5" t="s">
        <v>23</v>
      </c>
      <c r="B5">
        <v>265.3</v>
      </c>
      <c r="C5">
        <v>90.02</v>
      </c>
      <c r="D5">
        <v>3</v>
      </c>
      <c r="E5">
        <v>4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303.94</v>
      </c>
      <c r="C6">
        <v>38.64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1520.38</v>
      </c>
      <c r="C7">
        <v>1216.44</v>
      </c>
      <c r="D7">
        <v>9</v>
      </c>
      <c r="E7">
        <v>13</v>
      </c>
      <c r="F7">
        <v>1</v>
      </c>
      <c r="G7">
        <v>8</v>
      </c>
      <c r="H7">
        <v>32</v>
      </c>
      <c r="I7">
        <v>2218</v>
      </c>
      <c r="J7">
        <v>813</v>
      </c>
      <c r="K7">
        <v>1405</v>
      </c>
      <c r="L7">
        <v>36.700000000000003</v>
      </c>
      <c r="M7">
        <v>44</v>
      </c>
      <c r="N7">
        <v>8</v>
      </c>
      <c r="O7">
        <v>36</v>
      </c>
      <c r="P7">
        <v>18.2</v>
      </c>
      <c r="Q7">
        <v>2262</v>
      </c>
      <c r="R7">
        <v>821</v>
      </c>
      <c r="S7">
        <v>1441</v>
      </c>
      <c r="T7">
        <v>36.299999999999997</v>
      </c>
    </row>
    <row r="8" spans="1:20" x14ac:dyDescent="0.3">
      <c r="A8" t="s">
        <v>26</v>
      </c>
      <c r="B8">
        <v>1536.5</v>
      </c>
      <c r="C8">
        <v>16.12</v>
      </c>
      <c r="D8">
        <v>0</v>
      </c>
      <c r="E8">
        <v>13</v>
      </c>
      <c r="F8">
        <v>0</v>
      </c>
      <c r="G8">
        <v>0</v>
      </c>
      <c r="H8">
        <v>4</v>
      </c>
      <c r="I8">
        <v>26</v>
      </c>
      <c r="J8">
        <v>15</v>
      </c>
      <c r="K8">
        <v>11</v>
      </c>
      <c r="L8">
        <v>57.7</v>
      </c>
      <c r="M8">
        <v>4</v>
      </c>
      <c r="N8">
        <v>1</v>
      </c>
      <c r="O8">
        <v>3</v>
      </c>
      <c r="P8">
        <v>25</v>
      </c>
      <c r="Q8">
        <v>30</v>
      </c>
      <c r="R8">
        <v>16</v>
      </c>
      <c r="S8">
        <v>14</v>
      </c>
      <c r="T8">
        <v>53.3</v>
      </c>
    </row>
    <row r="9" spans="1:20" x14ac:dyDescent="0.3">
      <c r="A9" t="s">
        <v>27</v>
      </c>
      <c r="B9">
        <v>1552.08</v>
      </c>
      <c r="C9">
        <v>15.58</v>
      </c>
      <c r="D9">
        <v>0</v>
      </c>
      <c r="E9">
        <v>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1759.06</v>
      </c>
      <c r="C10">
        <v>206.98</v>
      </c>
      <c r="D10">
        <v>13</v>
      </c>
      <c r="E10">
        <v>26</v>
      </c>
      <c r="F10">
        <v>0</v>
      </c>
      <c r="G10">
        <v>13</v>
      </c>
      <c r="H10">
        <v>0</v>
      </c>
      <c r="I10">
        <v>24</v>
      </c>
      <c r="J10">
        <v>0</v>
      </c>
      <c r="K10">
        <v>24</v>
      </c>
      <c r="L10">
        <v>0</v>
      </c>
      <c r="M10">
        <v>0</v>
      </c>
      <c r="N10">
        <v>0</v>
      </c>
      <c r="O10">
        <v>0</v>
      </c>
      <c r="P10">
        <v>0</v>
      </c>
      <c r="Q10">
        <v>24</v>
      </c>
      <c r="R10">
        <v>0</v>
      </c>
      <c r="S10">
        <v>24</v>
      </c>
      <c r="T10">
        <v>0</v>
      </c>
    </row>
    <row r="11" spans="1:20" x14ac:dyDescent="0.3">
      <c r="A11" t="s">
        <v>29</v>
      </c>
      <c r="B11">
        <v>1765.66</v>
      </c>
      <c r="C11">
        <v>6.6</v>
      </c>
      <c r="D11">
        <v>0</v>
      </c>
      <c r="E11">
        <v>26</v>
      </c>
      <c r="F11">
        <v>0</v>
      </c>
      <c r="G11">
        <v>0</v>
      </c>
      <c r="H11">
        <v>0</v>
      </c>
      <c r="I11">
        <v>4</v>
      </c>
      <c r="J11">
        <v>0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0</v>
      </c>
      <c r="S11">
        <v>4</v>
      </c>
      <c r="T11">
        <v>0</v>
      </c>
    </row>
    <row r="12" spans="1:20" x14ac:dyDescent="0.3">
      <c r="A12" t="s">
        <v>30</v>
      </c>
      <c r="B12">
        <v>1873.62</v>
      </c>
      <c r="C12">
        <v>107.96</v>
      </c>
      <c r="D12">
        <v>3</v>
      </c>
      <c r="E12">
        <v>29</v>
      </c>
      <c r="F12">
        <v>0</v>
      </c>
      <c r="G12">
        <v>3</v>
      </c>
      <c r="H12">
        <v>4</v>
      </c>
      <c r="I12">
        <v>117</v>
      </c>
      <c r="J12">
        <v>97</v>
      </c>
      <c r="K12">
        <v>20</v>
      </c>
      <c r="L12">
        <v>82.9</v>
      </c>
      <c r="M12">
        <v>19</v>
      </c>
      <c r="N12">
        <v>17</v>
      </c>
      <c r="O12">
        <v>2</v>
      </c>
      <c r="P12">
        <v>89.5</v>
      </c>
      <c r="Q12">
        <v>136</v>
      </c>
      <c r="R12">
        <v>114</v>
      </c>
      <c r="S12">
        <v>22</v>
      </c>
      <c r="T12">
        <v>83.8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112.76</v>
      </c>
      <c r="C3">
        <v>112.56</v>
      </c>
      <c r="D3">
        <v>0</v>
      </c>
      <c r="E3">
        <v>0</v>
      </c>
      <c r="F3">
        <v>0</v>
      </c>
      <c r="G3">
        <v>0</v>
      </c>
      <c r="H3">
        <v>6</v>
      </c>
      <c r="I3">
        <v>63</v>
      </c>
      <c r="J3">
        <v>42</v>
      </c>
      <c r="K3">
        <v>21</v>
      </c>
      <c r="L3">
        <v>66.7</v>
      </c>
      <c r="M3">
        <v>0</v>
      </c>
      <c r="N3">
        <v>0</v>
      </c>
      <c r="O3">
        <v>0</v>
      </c>
      <c r="P3">
        <v>0</v>
      </c>
      <c r="Q3">
        <v>63</v>
      </c>
      <c r="R3">
        <v>42</v>
      </c>
      <c r="S3">
        <v>21</v>
      </c>
      <c r="T3">
        <v>66.7</v>
      </c>
    </row>
    <row r="4" spans="1:20" x14ac:dyDescent="0.3">
      <c r="A4" t="s">
        <v>22</v>
      </c>
      <c r="B4">
        <v>203.64</v>
      </c>
      <c r="C4">
        <v>90.88</v>
      </c>
      <c r="D4">
        <v>1</v>
      </c>
      <c r="E4">
        <v>1</v>
      </c>
      <c r="F4">
        <v>0</v>
      </c>
      <c r="G4">
        <v>1</v>
      </c>
      <c r="H4">
        <v>0</v>
      </c>
      <c r="I4">
        <v>69</v>
      </c>
      <c r="J4">
        <v>54</v>
      </c>
      <c r="K4">
        <v>15</v>
      </c>
      <c r="L4">
        <v>78.3</v>
      </c>
      <c r="M4">
        <v>0</v>
      </c>
      <c r="N4">
        <v>0</v>
      </c>
      <c r="O4">
        <v>0</v>
      </c>
      <c r="P4">
        <v>0</v>
      </c>
      <c r="Q4">
        <v>69</v>
      </c>
      <c r="R4">
        <v>54</v>
      </c>
      <c r="S4">
        <v>15</v>
      </c>
      <c r="T4">
        <v>78.3</v>
      </c>
    </row>
    <row r="5" spans="1:20" x14ac:dyDescent="0.3">
      <c r="A5" t="s">
        <v>23</v>
      </c>
      <c r="B5">
        <v>487.78</v>
      </c>
      <c r="C5">
        <v>284.14</v>
      </c>
      <c r="D5">
        <v>8</v>
      </c>
      <c r="E5">
        <v>9</v>
      </c>
      <c r="F5">
        <v>0</v>
      </c>
      <c r="G5">
        <v>8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</row>
    <row r="6" spans="1:20" x14ac:dyDescent="0.3">
      <c r="A6" t="s">
        <v>24</v>
      </c>
      <c r="B6">
        <v>556.14</v>
      </c>
      <c r="C6">
        <v>68.36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977.66</v>
      </c>
      <c r="C7">
        <v>977.66</v>
      </c>
      <c r="D7">
        <v>6</v>
      </c>
      <c r="E7">
        <v>6</v>
      </c>
      <c r="F7">
        <v>2</v>
      </c>
      <c r="G7">
        <v>4</v>
      </c>
      <c r="H7">
        <v>10</v>
      </c>
      <c r="I7">
        <v>914</v>
      </c>
      <c r="J7">
        <v>299</v>
      </c>
      <c r="K7">
        <v>615</v>
      </c>
      <c r="L7">
        <v>32.700000000000003</v>
      </c>
      <c r="M7">
        <v>22</v>
      </c>
      <c r="N7">
        <v>0</v>
      </c>
      <c r="O7">
        <v>22</v>
      </c>
      <c r="P7">
        <v>0</v>
      </c>
      <c r="Q7">
        <v>936</v>
      </c>
      <c r="R7">
        <v>299</v>
      </c>
      <c r="S7">
        <v>637</v>
      </c>
      <c r="T7">
        <v>31.9</v>
      </c>
    </row>
    <row r="8" spans="1:20" x14ac:dyDescent="0.3">
      <c r="A8" t="s">
        <v>26</v>
      </c>
      <c r="B8">
        <v>6.54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15</v>
      </c>
      <c r="J8">
        <v>7</v>
      </c>
      <c r="K8">
        <v>8</v>
      </c>
      <c r="L8">
        <v>46.7</v>
      </c>
      <c r="M8">
        <v>0</v>
      </c>
      <c r="N8">
        <v>0</v>
      </c>
      <c r="O8">
        <v>0</v>
      </c>
      <c r="P8">
        <v>0</v>
      </c>
      <c r="Q8">
        <v>15</v>
      </c>
      <c r="R8">
        <v>7</v>
      </c>
      <c r="S8">
        <v>8</v>
      </c>
      <c r="T8">
        <v>46.7</v>
      </c>
    </row>
    <row r="9" spans="1:20" x14ac:dyDescent="0.3">
      <c r="A9" t="s">
        <v>27</v>
      </c>
      <c r="B9">
        <v>49.68</v>
      </c>
      <c r="C9">
        <v>43.14</v>
      </c>
      <c r="D9">
        <v>1</v>
      </c>
      <c r="E9">
        <v>1</v>
      </c>
      <c r="F9">
        <v>0</v>
      </c>
      <c r="G9">
        <v>1</v>
      </c>
      <c r="H9">
        <v>1</v>
      </c>
      <c r="I9">
        <v>22</v>
      </c>
      <c r="J9">
        <v>7</v>
      </c>
      <c r="K9">
        <v>15</v>
      </c>
      <c r="L9">
        <v>31.8</v>
      </c>
      <c r="M9">
        <v>0</v>
      </c>
      <c r="N9">
        <v>0</v>
      </c>
      <c r="O9">
        <v>0</v>
      </c>
      <c r="P9">
        <v>0</v>
      </c>
      <c r="Q9">
        <v>22</v>
      </c>
      <c r="R9">
        <v>7</v>
      </c>
      <c r="S9">
        <v>15</v>
      </c>
      <c r="T9">
        <v>31.8</v>
      </c>
    </row>
    <row r="10" spans="1:20" x14ac:dyDescent="0.3">
      <c r="A10" t="s">
        <v>28</v>
      </c>
      <c r="B10">
        <v>127.16</v>
      </c>
      <c r="C10">
        <v>77.48</v>
      </c>
      <c r="D10">
        <v>2</v>
      </c>
      <c r="E10">
        <v>3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136.94</v>
      </c>
      <c r="C11">
        <v>9.7799999999999994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768.25</v>
      </c>
      <c r="C12">
        <v>631.30999999999995</v>
      </c>
      <c r="D12">
        <v>16</v>
      </c>
      <c r="E12">
        <v>19</v>
      </c>
      <c r="F12">
        <v>4</v>
      </c>
      <c r="G12">
        <v>12</v>
      </c>
      <c r="H12">
        <v>17</v>
      </c>
      <c r="I12">
        <v>1146</v>
      </c>
      <c r="J12">
        <v>846</v>
      </c>
      <c r="K12">
        <v>300</v>
      </c>
      <c r="L12">
        <v>73.8</v>
      </c>
      <c r="M12">
        <v>0</v>
      </c>
      <c r="N12">
        <v>0</v>
      </c>
      <c r="O12">
        <v>0</v>
      </c>
      <c r="P12">
        <v>0</v>
      </c>
      <c r="Q12">
        <v>1146</v>
      </c>
      <c r="R12">
        <v>846</v>
      </c>
      <c r="S12">
        <v>300</v>
      </c>
      <c r="T12">
        <v>73.8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"/>
  <sheetViews>
    <sheetView workbookViewId="0">
      <selection activeCell="A8" sqref="A8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57.46</v>
      </c>
      <c r="C3">
        <v>57.46</v>
      </c>
      <c r="D3">
        <v>0</v>
      </c>
      <c r="E3">
        <v>0</v>
      </c>
      <c r="F3">
        <v>0</v>
      </c>
      <c r="G3">
        <v>0</v>
      </c>
      <c r="H3">
        <v>6</v>
      </c>
      <c r="I3">
        <v>115</v>
      </c>
      <c r="J3">
        <v>42</v>
      </c>
      <c r="K3">
        <v>73</v>
      </c>
      <c r="L3">
        <v>36.5</v>
      </c>
      <c r="M3">
        <v>0</v>
      </c>
      <c r="N3">
        <v>0</v>
      </c>
      <c r="O3">
        <v>0</v>
      </c>
      <c r="P3">
        <v>0</v>
      </c>
      <c r="Q3">
        <v>115</v>
      </c>
      <c r="R3">
        <v>42</v>
      </c>
      <c r="S3">
        <v>73</v>
      </c>
      <c r="T3">
        <v>36.5</v>
      </c>
    </row>
    <row r="4" spans="1:20" x14ac:dyDescent="0.3">
      <c r="A4" t="s">
        <v>22</v>
      </c>
      <c r="B4">
        <v>116.2</v>
      </c>
      <c r="C4">
        <v>58.74</v>
      </c>
      <c r="D4">
        <v>1</v>
      </c>
      <c r="E4">
        <v>1</v>
      </c>
      <c r="F4">
        <v>1</v>
      </c>
      <c r="G4">
        <v>0</v>
      </c>
      <c r="H4">
        <v>0</v>
      </c>
      <c r="I4">
        <v>87</v>
      </c>
      <c r="J4">
        <v>49</v>
      </c>
      <c r="K4">
        <v>38</v>
      </c>
      <c r="L4">
        <v>56.3</v>
      </c>
      <c r="M4">
        <v>0</v>
      </c>
      <c r="N4">
        <v>0</v>
      </c>
      <c r="O4">
        <v>0</v>
      </c>
      <c r="P4">
        <v>0</v>
      </c>
      <c r="Q4">
        <v>87</v>
      </c>
      <c r="R4">
        <v>49</v>
      </c>
      <c r="S4">
        <v>38</v>
      </c>
      <c r="T4">
        <v>56.3</v>
      </c>
    </row>
    <row r="5" spans="1:20" x14ac:dyDescent="0.3">
      <c r="A5" t="s">
        <v>23</v>
      </c>
      <c r="B5">
        <v>272.10000000000002</v>
      </c>
      <c r="C5">
        <v>155.9</v>
      </c>
      <c r="D5">
        <v>4</v>
      </c>
      <c r="E5">
        <v>5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333.28</v>
      </c>
      <c r="C6">
        <v>61.18</v>
      </c>
      <c r="D6">
        <v>1</v>
      </c>
      <c r="E6">
        <v>6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607.24</v>
      </c>
      <c r="C7">
        <v>606.67999999999995</v>
      </c>
      <c r="D7">
        <v>2</v>
      </c>
      <c r="E7">
        <v>2</v>
      </c>
      <c r="F7">
        <v>0</v>
      </c>
      <c r="G7">
        <v>2</v>
      </c>
      <c r="H7">
        <v>26</v>
      </c>
      <c r="I7">
        <v>896</v>
      </c>
      <c r="J7">
        <v>371</v>
      </c>
      <c r="K7">
        <v>525</v>
      </c>
      <c r="L7">
        <v>41.4</v>
      </c>
      <c r="M7">
        <v>84</v>
      </c>
      <c r="N7">
        <v>15</v>
      </c>
      <c r="O7">
        <v>69</v>
      </c>
      <c r="P7">
        <v>17.899999999999999</v>
      </c>
      <c r="Q7">
        <v>980</v>
      </c>
      <c r="R7">
        <v>386</v>
      </c>
      <c r="S7">
        <v>594</v>
      </c>
      <c r="T7">
        <v>39.4</v>
      </c>
    </row>
    <row r="8" spans="1:20" x14ac:dyDescent="0.3">
      <c r="A8" t="s">
        <v>26</v>
      </c>
      <c r="B8">
        <v>632.55999999999995</v>
      </c>
      <c r="C8">
        <v>25.32</v>
      </c>
      <c r="D8">
        <v>0</v>
      </c>
      <c r="E8">
        <v>2</v>
      </c>
      <c r="F8">
        <v>0</v>
      </c>
      <c r="G8">
        <v>0</v>
      </c>
      <c r="H8">
        <v>4</v>
      </c>
      <c r="I8">
        <v>3</v>
      </c>
      <c r="J8">
        <v>0</v>
      </c>
      <c r="K8">
        <v>3</v>
      </c>
      <c r="L8">
        <v>0</v>
      </c>
      <c r="M8">
        <v>9</v>
      </c>
      <c r="N8">
        <v>3</v>
      </c>
      <c r="O8">
        <v>6</v>
      </c>
      <c r="P8">
        <v>33.299999999999997</v>
      </c>
      <c r="Q8">
        <v>12</v>
      </c>
      <c r="R8">
        <v>3</v>
      </c>
      <c r="S8">
        <v>9</v>
      </c>
      <c r="T8">
        <v>25</v>
      </c>
    </row>
    <row r="9" spans="1:20" x14ac:dyDescent="0.3">
      <c r="A9" t="s">
        <v>27</v>
      </c>
      <c r="B9">
        <v>648.66</v>
      </c>
      <c r="C9">
        <v>16.100000000000001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677.5</v>
      </c>
      <c r="C10">
        <v>28.84</v>
      </c>
      <c r="D10">
        <v>1</v>
      </c>
      <c r="E10">
        <v>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687.38</v>
      </c>
      <c r="C11">
        <v>9.8800000000000008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788.91</v>
      </c>
      <c r="C12">
        <v>101.53</v>
      </c>
      <c r="D12">
        <v>2</v>
      </c>
      <c r="E12">
        <v>5</v>
      </c>
      <c r="F12">
        <v>0</v>
      </c>
      <c r="G12">
        <v>2</v>
      </c>
      <c r="H12">
        <v>5</v>
      </c>
      <c r="I12">
        <v>246</v>
      </c>
      <c r="J12">
        <v>179</v>
      </c>
      <c r="K12">
        <v>67</v>
      </c>
      <c r="L12">
        <v>72.8</v>
      </c>
      <c r="M12">
        <v>7</v>
      </c>
      <c r="N12">
        <v>6</v>
      </c>
      <c r="O12">
        <v>1</v>
      </c>
      <c r="P12">
        <v>85.7</v>
      </c>
      <c r="Q12">
        <v>253</v>
      </c>
      <c r="R12">
        <v>185</v>
      </c>
      <c r="S12">
        <v>68</v>
      </c>
      <c r="T12">
        <v>73.099999999999994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"/>
  <sheetViews>
    <sheetView workbookViewId="0">
      <selection activeCell="M13" sqref="M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215.1</v>
      </c>
      <c r="C3">
        <v>215.1</v>
      </c>
      <c r="D3">
        <v>4</v>
      </c>
      <c r="E3">
        <v>4</v>
      </c>
      <c r="F3">
        <v>4</v>
      </c>
      <c r="G3">
        <v>0</v>
      </c>
      <c r="H3">
        <v>14</v>
      </c>
      <c r="I3">
        <v>253</v>
      </c>
      <c r="J3">
        <v>102</v>
      </c>
      <c r="K3">
        <v>151</v>
      </c>
      <c r="L3">
        <v>40.299999999999997</v>
      </c>
      <c r="M3">
        <v>0</v>
      </c>
      <c r="N3">
        <v>0</v>
      </c>
      <c r="O3">
        <v>0</v>
      </c>
      <c r="P3">
        <v>0</v>
      </c>
      <c r="Q3">
        <v>253</v>
      </c>
      <c r="R3">
        <v>102</v>
      </c>
      <c r="S3">
        <v>151</v>
      </c>
      <c r="T3">
        <v>40.299999999999997</v>
      </c>
    </row>
    <row r="4" spans="1:20" x14ac:dyDescent="0.3">
      <c r="A4" t="s">
        <v>22</v>
      </c>
      <c r="B4">
        <v>252.74</v>
      </c>
      <c r="C4">
        <v>37.64</v>
      </c>
      <c r="D4">
        <v>0</v>
      </c>
      <c r="E4">
        <v>4</v>
      </c>
      <c r="F4">
        <v>0</v>
      </c>
      <c r="G4">
        <v>0</v>
      </c>
      <c r="H4">
        <v>0</v>
      </c>
      <c r="I4">
        <v>30</v>
      </c>
      <c r="J4">
        <v>27</v>
      </c>
      <c r="K4">
        <v>3</v>
      </c>
      <c r="L4">
        <v>90</v>
      </c>
      <c r="M4">
        <v>0</v>
      </c>
      <c r="N4">
        <v>0</v>
      </c>
      <c r="O4">
        <v>0</v>
      </c>
      <c r="P4">
        <v>0</v>
      </c>
      <c r="Q4">
        <v>30</v>
      </c>
      <c r="R4">
        <v>27</v>
      </c>
      <c r="S4">
        <v>3</v>
      </c>
      <c r="T4">
        <v>90</v>
      </c>
    </row>
    <row r="5" spans="1:20" x14ac:dyDescent="0.3">
      <c r="A5" t="s">
        <v>23</v>
      </c>
      <c r="B5">
        <v>399.9</v>
      </c>
      <c r="C5">
        <v>147.16</v>
      </c>
      <c r="D5">
        <v>3</v>
      </c>
      <c r="E5">
        <v>7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581.4</v>
      </c>
      <c r="C6">
        <v>181.5</v>
      </c>
      <c r="D6">
        <v>7</v>
      </c>
      <c r="E6">
        <v>14</v>
      </c>
      <c r="F6">
        <v>0</v>
      </c>
      <c r="G6">
        <v>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t="s">
        <v>26</v>
      </c>
      <c r="B8">
        <v>2.62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9</v>
      </c>
      <c r="J8">
        <v>7</v>
      </c>
      <c r="K8">
        <v>2</v>
      </c>
      <c r="L8">
        <v>77.8</v>
      </c>
      <c r="M8">
        <v>0</v>
      </c>
      <c r="N8">
        <v>0</v>
      </c>
      <c r="O8">
        <v>0</v>
      </c>
      <c r="P8">
        <v>0</v>
      </c>
      <c r="Q8">
        <v>9</v>
      </c>
      <c r="R8">
        <v>7</v>
      </c>
      <c r="S8">
        <v>2</v>
      </c>
      <c r="T8">
        <v>77.8</v>
      </c>
    </row>
    <row r="9" spans="1:20" x14ac:dyDescent="0.3">
      <c r="A9" t="s">
        <v>27</v>
      </c>
      <c r="B9">
        <v>38.76</v>
      </c>
      <c r="C9">
        <v>36.14</v>
      </c>
      <c r="D9">
        <v>0</v>
      </c>
      <c r="E9">
        <v>0</v>
      </c>
      <c r="F9">
        <v>0</v>
      </c>
      <c r="G9">
        <v>0</v>
      </c>
      <c r="H9">
        <v>3</v>
      </c>
      <c r="I9">
        <v>18</v>
      </c>
      <c r="J9">
        <v>16</v>
      </c>
      <c r="K9">
        <v>2</v>
      </c>
      <c r="L9">
        <v>88.9</v>
      </c>
      <c r="M9">
        <v>0</v>
      </c>
      <c r="N9">
        <v>0</v>
      </c>
      <c r="O9">
        <v>0</v>
      </c>
      <c r="P9">
        <v>0</v>
      </c>
      <c r="Q9">
        <v>18</v>
      </c>
      <c r="R9">
        <v>16</v>
      </c>
      <c r="S9">
        <v>2</v>
      </c>
      <c r="T9">
        <v>88.9</v>
      </c>
    </row>
    <row r="10" spans="1:20" x14ac:dyDescent="0.3">
      <c r="A10" t="s">
        <v>28</v>
      </c>
      <c r="B10">
        <v>167.52</v>
      </c>
      <c r="C10">
        <v>128.76</v>
      </c>
      <c r="D10">
        <v>4</v>
      </c>
      <c r="E10">
        <v>4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185.78</v>
      </c>
      <c r="C11">
        <v>18.260000000000002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s="2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343.92</v>
      </c>
      <c r="C3">
        <v>343.74</v>
      </c>
      <c r="D3">
        <v>4</v>
      </c>
      <c r="E3">
        <v>4</v>
      </c>
      <c r="F3">
        <v>4</v>
      </c>
      <c r="G3">
        <v>0</v>
      </c>
      <c r="H3">
        <v>16</v>
      </c>
      <c r="I3">
        <v>304</v>
      </c>
      <c r="J3">
        <v>118</v>
      </c>
      <c r="K3">
        <v>186</v>
      </c>
      <c r="L3">
        <v>38.799999999999997</v>
      </c>
      <c r="M3">
        <v>0</v>
      </c>
      <c r="N3">
        <v>0</v>
      </c>
      <c r="O3">
        <v>0</v>
      </c>
      <c r="P3">
        <v>0</v>
      </c>
      <c r="Q3">
        <v>304</v>
      </c>
      <c r="R3">
        <v>118</v>
      </c>
      <c r="S3">
        <v>186</v>
      </c>
      <c r="T3">
        <v>38.799999999999997</v>
      </c>
    </row>
    <row r="4" spans="1:20" x14ac:dyDescent="0.3">
      <c r="A4" t="s">
        <v>22</v>
      </c>
      <c r="B4">
        <v>499.68</v>
      </c>
      <c r="C4">
        <v>155.76</v>
      </c>
      <c r="D4">
        <v>5</v>
      </c>
      <c r="E4">
        <v>9</v>
      </c>
      <c r="F4">
        <v>5</v>
      </c>
      <c r="G4">
        <v>0</v>
      </c>
      <c r="H4">
        <v>0</v>
      </c>
      <c r="I4">
        <v>148</v>
      </c>
      <c r="J4">
        <v>77</v>
      </c>
      <c r="K4">
        <v>71</v>
      </c>
      <c r="L4">
        <v>52</v>
      </c>
      <c r="M4">
        <v>0</v>
      </c>
      <c r="N4">
        <v>0</v>
      </c>
      <c r="O4">
        <v>0</v>
      </c>
      <c r="P4">
        <v>0</v>
      </c>
      <c r="Q4">
        <v>148</v>
      </c>
      <c r="R4">
        <v>77</v>
      </c>
      <c r="S4">
        <v>71</v>
      </c>
      <c r="T4">
        <v>52</v>
      </c>
    </row>
    <row r="5" spans="1:20" x14ac:dyDescent="0.3">
      <c r="A5" t="s">
        <v>23</v>
      </c>
      <c r="B5">
        <v>1109.68</v>
      </c>
      <c r="C5">
        <v>610</v>
      </c>
      <c r="D5">
        <v>12</v>
      </c>
      <c r="E5">
        <v>21</v>
      </c>
      <c r="F5">
        <v>0</v>
      </c>
      <c r="G5">
        <v>12</v>
      </c>
      <c r="H5">
        <v>0</v>
      </c>
      <c r="I5">
        <v>28</v>
      </c>
      <c r="J5">
        <v>0</v>
      </c>
      <c r="K5">
        <v>28</v>
      </c>
      <c r="L5">
        <v>0</v>
      </c>
      <c r="M5">
        <v>0</v>
      </c>
      <c r="N5">
        <v>0</v>
      </c>
      <c r="O5">
        <v>0</v>
      </c>
      <c r="P5">
        <v>0</v>
      </c>
      <c r="Q5">
        <v>28</v>
      </c>
      <c r="R5">
        <v>0</v>
      </c>
      <c r="S5">
        <v>28</v>
      </c>
      <c r="T5">
        <v>0</v>
      </c>
    </row>
    <row r="6" spans="1:20" x14ac:dyDescent="0.3">
      <c r="A6" t="s">
        <v>24</v>
      </c>
      <c r="B6">
        <v>1479.22</v>
      </c>
      <c r="C6">
        <v>369.54</v>
      </c>
      <c r="D6">
        <v>16</v>
      </c>
      <c r="E6">
        <v>37</v>
      </c>
      <c r="F6">
        <v>0</v>
      </c>
      <c r="G6">
        <v>16</v>
      </c>
      <c r="H6">
        <v>7</v>
      </c>
      <c r="I6">
        <v>20</v>
      </c>
      <c r="J6">
        <v>0</v>
      </c>
      <c r="K6">
        <v>20</v>
      </c>
      <c r="L6">
        <v>0</v>
      </c>
      <c r="M6">
        <v>0</v>
      </c>
      <c r="N6">
        <v>0</v>
      </c>
      <c r="O6">
        <v>0</v>
      </c>
      <c r="P6">
        <v>0</v>
      </c>
      <c r="Q6">
        <v>20</v>
      </c>
      <c r="R6">
        <v>0</v>
      </c>
      <c r="S6">
        <v>20</v>
      </c>
      <c r="T6">
        <v>0</v>
      </c>
    </row>
    <row r="7" spans="1:20" x14ac:dyDescent="0.3">
      <c r="A7" t="s">
        <v>25</v>
      </c>
      <c r="B7">
        <v>4366.2</v>
      </c>
      <c r="C7">
        <v>2886.98</v>
      </c>
      <c r="D7">
        <v>8</v>
      </c>
      <c r="E7">
        <v>45</v>
      </c>
      <c r="F7">
        <v>4</v>
      </c>
      <c r="G7">
        <v>4</v>
      </c>
      <c r="H7">
        <v>26</v>
      </c>
      <c r="I7">
        <v>3999</v>
      </c>
      <c r="J7">
        <v>664</v>
      </c>
      <c r="K7">
        <v>3335</v>
      </c>
      <c r="L7">
        <v>16.600000000000001</v>
      </c>
      <c r="M7">
        <v>7</v>
      </c>
      <c r="N7">
        <v>0</v>
      </c>
      <c r="O7">
        <v>7</v>
      </c>
      <c r="P7">
        <v>0</v>
      </c>
      <c r="Q7">
        <v>4006</v>
      </c>
      <c r="R7">
        <v>664</v>
      </c>
      <c r="S7">
        <v>3342</v>
      </c>
      <c r="T7">
        <v>16.600000000000001</v>
      </c>
    </row>
    <row r="8" spans="1:20" x14ac:dyDescent="0.3">
      <c r="A8" t="s">
        <v>26</v>
      </c>
      <c r="B8">
        <v>4388.12</v>
      </c>
      <c r="C8">
        <v>21.92</v>
      </c>
      <c r="D8">
        <v>0</v>
      </c>
      <c r="E8">
        <v>45</v>
      </c>
      <c r="F8">
        <v>0</v>
      </c>
      <c r="G8">
        <v>0</v>
      </c>
      <c r="H8">
        <v>4</v>
      </c>
      <c r="I8">
        <v>53</v>
      </c>
      <c r="J8">
        <v>28</v>
      </c>
      <c r="K8">
        <v>25</v>
      </c>
      <c r="L8">
        <v>52.8</v>
      </c>
      <c r="M8">
        <v>0</v>
      </c>
      <c r="N8">
        <v>0</v>
      </c>
      <c r="O8">
        <v>0</v>
      </c>
      <c r="P8">
        <v>0</v>
      </c>
      <c r="Q8">
        <v>53</v>
      </c>
      <c r="R8">
        <v>28</v>
      </c>
      <c r="S8">
        <v>25</v>
      </c>
      <c r="T8">
        <v>52.8</v>
      </c>
    </row>
    <row r="9" spans="1:20" x14ac:dyDescent="0.3">
      <c r="A9" t="s">
        <v>27</v>
      </c>
      <c r="B9">
        <v>4634.3599999999997</v>
      </c>
      <c r="C9">
        <v>246.24</v>
      </c>
      <c r="D9">
        <v>16</v>
      </c>
      <c r="E9">
        <v>61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5028.42</v>
      </c>
      <c r="C10">
        <v>394.06</v>
      </c>
      <c r="D10">
        <v>26</v>
      </c>
      <c r="E10">
        <v>87</v>
      </c>
      <c r="F10">
        <v>0</v>
      </c>
      <c r="G10">
        <v>26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5041.2</v>
      </c>
      <c r="C11">
        <v>12.78</v>
      </c>
      <c r="D11">
        <v>0</v>
      </c>
      <c r="E11">
        <v>87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5771.13</v>
      </c>
      <c r="C12">
        <v>729.93</v>
      </c>
      <c r="D12">
        <v>19</v>
      </c>
      <c r="E12">
        <v>106</v>
      </c>
      <c r="F12">
        <v>1</v>
      </c>
      <c r="G12">
        <v>18</v>
      </c>
      <c r="H12">
        <v>5</v>
      </c>
      <c r="I12">
        <v>610</v>
      </c>
      <c r="J12">
        <v>411</v>
      </c>
      <c r="K12">
        <v>199</v>
      </c>
      <c r="L12">
        <v>67.400000000000006</v>
      </c>
      <c r="M12">
        <v>0</v>
      </c>
      <c r="N12">
        <v>0</v>
      </c>
      <c r="O12">
        <v>0</v>
      </c>
      <c r="P12">
        <v>0</v>
      </c>
      <c r="Q12">
        <v>610</v>
      </c>
      <c r="R12">
        <v>411</v>
      </c>
      <c r="S12">
        <v>199</v>
      </c>
      <c r="T12">
        <v>67.400000000000006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198.6</v>
      </c>
      <c r="C3">
        <v>198.42</v>
      </c>
      <c r="D3">
        <v>1</v>
      </c>
      <c r="E3">
        <v>1</v>
      </c>
      <c r="F3">
        <v>1</v>
      </c>
      <c r="G3">
        <v>0</v>
      </c>
      <c r="H3">
        <v>8</v>
      </c>
      <c r="I3">
        <v>159</v>
      </c>
      <c r="J3">
        <v>57</v>
      </c>
      <c r="K3">
        <v>102</v>
      </c>
      <c r="L3">
        <v>35.799999999999997</v>
      </c>
      <c r="M3">
        <v>0</v>
      </c>
      <c r="N3">
        <v>0</v>
      </c>
      <c r="O3">
        <v>0</v>
      </c>
      <c r="P3">
        <v>0</v>
      </c>
      <c r="Q3">
        <v>159</v>
      </c>
      <c r="R3">
        <v>57</v>
      </c>
      <c r="S3">
        <v>102</v>
      </c>
      <c r="T3">
        <v>35.799999999999997</v>
      </c>
    </row>
    <row r="4" spans="1:20" x14ac:dyDescent="0.3">
      <c r="A4" t="s">
        <v>22</v>
      </c>
      <c r="B4">
        <v>284.98</v>
      </c>
      <c r="C4">
        <v>86.38</v>
      </c>
      <c r="D4">
        <v>2</v>
      </c>
      <c r="E4">
        <v>3</v>
      </c>
      <c r="F4">
        <v>2</v>
      </c>
      <c r="G4">
        <v>0</v>
      </c>
      <c r="H4">
        <v>0</v>
      </c>
      <c r="I4">
        <v>55</v>
      </c>
      <c r="J4">
        <v>39</v>
      </c>
      <c r="K4">
        <v>16</v>
      </c>
      <c r="L4">
        <v>70.900000000000006</v>
      </c>
      <c r="M4">
        <v>0</v>
      </c>
      <c r="N4">
        <v>0</v>
      </c>
      <c r="O4">
        <v>0</v>
      </c>
      <c r="P4">
        <v>0</v>
      </c>
      <c r="Q4">
        <v>55</v>
      </c>
      <c r="R4">
        <v>39</v>
      </c>
      <c r="S4">
        <v>16</v>
      </c>
      <c r="T4">
        <v>70.900000000000006</v>
      </c>
    </row>
    <row r="5" spans="1:20" x14ac:dyDescent="0.3">
      <c r="A5" t="s">
        <v>23</v>
      </c>
      <c r="B5">
        <v>429.78</v>
      </c>
      <c r="C5">
        <v>144.80000000000001</v>
      </c>
      <c r="D5">
        <v>4</v>
      </c>
      <c r="E5">
        <v>7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526.24</v>
      </c>
      <c r="C6">
        <v>96.46</v>
      </c>
      <c r="D6">
        <v>1</v>
      </c>
      <c r="E6">
        <v>8</v>
      </c>
      <c r="F6">
        <v>0</v>
      </c>
      <c r="G6">
        <v>1</v>
      </c>
      <c r="H6">
        <v>0</v>
      </c>
      <c r="I6">
        <v>25</v>
      </c>
      <c r="J6">
        <v>0</v>
      </c>
      <c r="K6">
        <v>25</v>
      </c>
      <c r="L6">
        <v>0</v>
      </c>
      <c r="M6">
        <v>0</v>
      </c>
      <c r="N6">
        <v>0</v>
      </c>
      <c r="O6">
        <v>0</v>
      </c>
      <c r="P6">
        <v>0</v>
      </c>
      <c r="Q6">
        <v>25</v>
      </c>
      <c r="R6">
        <v>0</v>
      </c>
      <c r="S6">
        <v>25</v>
      </c>
      <c r="T6">
        <v>0</v>
      </c>
    </row>
    <row r="7" spans="1:20" x14ac:dyDescent="0.3">
      <c r="A7" t="s">
        <v>25</v>
      </c>
      <c r="B7">
        <v>2329.3200000000002</v>
      </c>
      <c r="C7">
        <v>1803.08</v>
      </c>
      <c r="D7">
        <v>10</v>
      </c>
      <c r="E7">
        <v>18</v>
      </c>
      <c r="F7">
        <v>9</v>
      </c>
      <c r="G7">
        <v>1</v>
      </c>
      <c r="H7">
        <v>28</v>
      </c>
      <c r="I7">
        <v>3137</v>
      </c>
      <c r="J7">
        <v>662</v>
      </c>
      <c r="K7">
        <v>2475</v>
      </c>
      <c r="L7">
        <v>21.1</v>
      </c>
      <c r="M7">
        <v>81</v>
      </c>
      <c r="N7">
        <v>7</v>
      </c>
      <c r="O7">
        <v>74</v>
      </c>
      <c r="P7">
        <v>8.6</v>
      </c>
      <c r="Q7">
        <v>3218</v>
      </c>
      <c r="R7">
        <v>669</v>
      </c>
      <c r="S7">
        <v>2549</v>
      </c>
      <c r="T7">
        <v>20.8</v>
      </c>
    </row>
    <row r="8" spans="1:20" x14ac:dyDescent="0.3">
      <c r="A8" t="s">
        <v>26</v>
      </c>
      <c r="B8">
        <v>2346.7800000000002</v>
      </c>
      <c r="C8">
        <v>17.46</v>
      </c>
      <c r="D8">
        <v>0</v>
      </c>
      <c r="E8">
        <v>18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5</v>
      </c>
      <c r="N8">
        <v>3</v>
      </c>
      <c r="O8">
        <v>2</v>
      </c>
      <c r="P8">
        <v>60</v>
      </c>
      <c r="Q8">
        <v>5</v>
      </c>
      <c r="R8">
        <v>3</v>
      </c>
      <c r="S8">
        <v>2</v>
      </c>
      <c r="T8">
        <v>60</v>
      </c>
    </row>
    <row r="9" spans="1:20" x14ac:dyDescent="0.3">
      <c r="A9" t="s">
        <v>27</v>
      </c>
      <c r="B9">
        <v>2363.52</v>
      </c>
      <c r="C9">
        <v>16.739999999999998</v>
      </c>
      <c r="D9">
        <v>0</v>
      </c>
      <c r="E9">
        <v>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2552.52</v>
      </c>
      <c r="C10">
        <v>189</v>
      </c>
      <c r="D10">
        <v>10</v>
      </c>
      <c r="E10">
        <v>28</v>
      </c>
      <c r="F10">
        <v>0</v>
      </c>
      <c r="G10">
        <v>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2566.2399999999998</v>
      </c>
      <c r="C11">
        <v>13.72</v>
      </c>
      <c r="D11">
        <v>0</v>
      </c>
      <c r="E11">
        <v>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2719.83</v>
      </c>
      <c r="C12">
        <v>153.59</v>
      </c>
      <c r="D12">
        <v>3</v>
      </c>
      <c r="E12">
        <v>31</v>
      </c>
      <c r="F12">
        <v>0</v>
      </c>
      <c r="G12">
        <v>3</v>
      </c>
      <c r="H12">
        <v>3</v>
      </c>
      <c r="I12">
        <v>207</v>
      </c>
      <c r="J12">
        <v>162</v>
      </c>
      <c r="K12">
        <v>45</v>
      </c>
      <c r="L12">
        <v>78.3</v>
      </c>
      <c r="M12">
        <v>12</v>
      </c>
      <c r="N12">
        <v>8</v>
      </c>
      <c r="O12">
        <v>4</v>
      </c>
      <c r="P12">
        <v>66.7</v>
      </c>
      <c r="Q12">
        <v>219</v>
      </c>
      <c r="R12">
        <v>170</v>
      </c>
      <c r="S12">
        <v>49</v>
      </c>
      <c r="T12">
        <v>77.599999999999994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88.6</v>
      </c>
      <c r="C3">
        <v>88.6</v>
      </c>
      <c r="D3">
        <v>0</v>
      </c>
      <c r="E3">
        <v>0</v>
      </c>
      <c r="F3">
        <v>0</v>
      </c>
      <c r="G3">
        <v>0</v>
      </c>
      <c r="H3">
        <v>6</v>
      </c>
      <c r="I3">
        <v>96</v>
      </c>
      <c r="J3">
        <v>42</v>
      </c>
      <c r="K3">
        <v>54</v>
      </c>
      <c r="L3">
        <v>43.8</v>
      </c>
      <c r="M3">
        <v>0</v>
      </c>
      <c r="N3">
        <v>0</v>
      </c>
      <c r="O3">
        <v>0</v>
      </c>
      <c r="P3">
        <v>0</v>
      </c>
      <c r="Q3">
        <v>96</v>
      </c>
      <c r="R3">
        <v>42</v>
      </c>
      <c r="S3">
        <v>54</v>
      </c>
      <c r="T3">
        <v>43.8</v>
      </c>
    </row>
    <row r="4" spans="1:20" x14ac:dyDescent="0.3">
      <c r="A4" t="s">
        <v>22</v>
      </c>
      <c r="B4">
        <v>135.54</v>
      </c>
      <c r="C4">
        <v>46.94</v>
      </c>
      <c r="D4">
        <v>0</v>
      </c>
      <c r="E4">
        <v>0</v>
      </c>
      <c r="F4">
        <v>0</v>
      </c>
      <c r="G4">
        <v>0</v>
      </c>
      <c r="H4">
        <v>0</v>
      </c>
      <c r="I4">
        <v>48</v>
      </c>
      <c r="J4">
        <v>27</v>
      </c>
      <c r="K4">
        <v>21</v>
      </c>
      <c r="L4">
        <v>56.3</v>
      </c>
      <c r="M4">
        <v>0</v>
      </c>
      <c r="N4">
        <v>0</v>
      </c>
      <c r="O4">
        <v>0</v>
      </c>
      <c r="P4">
        <v>0</v>
      </c>
      <c r="Q4">
        <v>48</v>
      </c>
      <c r="R4">
        <v>27</v>
      </c>
      <c r="S4">
        <v>21</v>
      </c>
      <c r="T4">
        <v>56.3</v>
      </c>
    </row>
    <row r="5" spans="1:20" x14ac:dyDescent="0.3">
      <c r="A5" t="s">
        <v>23</v>
      </c>
      <c r="B5">
        <v>487.86</v>
      </c>
      <c r="C5">
        <v>352.32</v>
      </c>
      <c r="D5">
        <v>9</v>
      </c>
      <c r="E5">
        <v>9</v>
      </c>
      <c r="F5">
        <v>0</v>
      </c>
      <c r="G5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535.55999999999995</v>
      </c>
      <c r="C6">
        <v>47.7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1130.82</v>
      </c>
      <c r="C7">
        <v>595.26</v>
      </c>
      <c r="D7">
        <v>1</v>
      </c>
      <c r="E7">
        <v>10</v>
      </c>
      <c r="F7">
        <v>0</v>
      </c>
      <c r="G7">
        <v>1</v>
      </c>
      <c r="H7">
        <v>25</v>
      </c>
      <c r="I7">
        <v>1209</v>
      </c>
      <c r="J7">
        <v>579</v>
      </c>
      <c r="K7">
        <v>630</v>
      </c>
      <c r="L7">
        <v>47.9</v>
      </c>
      <c r="M7">
        <v>18</v>
      </c>
      <c r="N7">
        <v>0</v>
      </c>
      <c r="O7">
        <v>18</v>
      </c>
      <c r="P7">
        <v>0</v>
      </c>
      <c r="Q7">
        <v>1227</v>
      </c>
      <c r="R7">
        <v>579</v>
      </c>
      <c r="S7">
        <v>648</v>
      </c>
      <c r="T7">
        <v>47.2</v>
      </c>
    </row>
    <row r="8" spans="1:20" x14ac:dyDescent="0.3">
      <c r="A8" t="s">
        <v>26</v>
      </c>
      <c r="B8">
        <v>1146.58</v>
      </c>
      <c r="C8">
        <v>15.76</v>
      </c>
      <c r="D8">
        <v>0</v>
      </c>
      <c r="E8">
        <v>10</v>
      </c>
      <c r="F8">
        <v>0</v>
      </c>
      <c r="G8">
        <v>0</v>
      </c>
      <c r="H8">
        <v>4</v>
      </c>
      <c r="I8">
        <v>12</v>
      </c>
      <c r="J8">
        <v>8</v>
      </c>
      <c r="K8">
        <v>4</v>
      </c>
      <c r="L8">
        <v>66.7</v>
      </c>
      <c r="M8">
        <v>4</v>
      </c>
      <c r="N8">
        <v>3</v>
      </c>
      <c r="O8">
        <v>1</v>
      </c>
      <c r="P8">
        <v>75</v>
      </c>
      <c r="Q8">
        <v>16</v>
      </c>
      <c r="R8">
        <v>11</v>
      </c>
      <c r="S8">
        <v>5</v>
      </c>
      <c r="T8">
        <v>68.8</v>
      </c>
    </row>
    <row r="9" spans="1:20" x14ac:dyDescent="0.3">
      <c r="A9" t="s">
        <v>27</v>
      </c>
      <c r="B9">
        <v>1163.56</v>
      </c>
      <c r="C9">
        <v>16.98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1269.6600000000001</v>
      </c>
      <c r="C10">
        <v>106.1</v>
      </c>
      <c r="D10">
        <v>4</v>
      </c>
      <c r="E10">
        <v>14</v>
      </c>
      <c r="F10">
        <v>0</v>
      </c>
      <c r="G10">
        <v>4</v>
      </c>
      <c r="H10">
        <v>0</v>
      </c>
      <c r="I10">
        <v>11</v>
      </c>
      <c r="J10">
        <v>0</v>
      </c>
      <c r="K10">
        <v>11</v>
      </c>
      <c r="L10">
        <v>0</v>
      </c>
      <c r="M10">
        <v>0</v>
      </c>
      <c r="N10">
        <v>0</v>
      </c>
      <c r="O10">
        <v>0</v>
      </c>
      <c r="P10">
        <v>0</v>
      </c>
      <c r="Q10">
        <v>11</v>
      </c>
      <c r="R10">
        <v>0</v>
      </c>
      <c r="S10">
        <v>11</v>
      </c>
      <c r="T10">
        <v>0</v>
      </c>
    </row>
    <row r="11" spans="1:20" x14ac:dyDescent="0.3">
      <c r="A11" t="s">
        <v>29</v>
      </c>
      <c r="B11">
        <v>1277.0999999999999</v>
      </c>
      <c r="C11">
        <v>7.44</v>
      </c>
      <c r="D11">
        <v>0</v>
      </c>
      <c r="E11">
        <v>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1324.27</v>
      </c>
      <c r="C12">
        <v>47.17</v>
      </c>
      <c r="D12">
        <v>0</v>
      </c>
      <c r="E12">
        <v>14</v>
      </c>
      <c r="F12">
        <v>0</v>
      </c>
      <c r="G12">
        <v>0</v>
      </c>
      <c r="H12">
        <v>2</v>
      </c>
      <c r="I12">
        <v>93</v>
      </c>
      <c r="J12">
        <v>76</v>
      </c>
      <c r="K12">
        <v>17</v>
      </c>
      <c r="L12">
        <v>81.7</v>
      </c>
      <c r="M12">
        <v>7</v>
      </c>
      <c r="N12">
        <v>4</v>
      </c>
      <c r="O12">
        <v>3</v>
      </c>
      <c r="P12">
        <v>57.1</v>
      </c>
      <c r="Q12">
        <v>100</v>
      </c>
      <c r="R12">
        <v>80</v>
      </c>
      <c r="S12">
        <v>20</v>
      </c>
      <c r="T12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246.36</v>
      </c>
      <c r="C3">
        <v>246.24</v>
      </c>
      <c r="D3">
        <v>6</v>
      </c>
      <c r="E3">
        <v>6</v>
      </c>
      <c r="F3">
        <v>6</v>
      </c>
      <c r="G3">
        <v>0</v>
      </c>
      <c r="H3">
        <v>16</v>
      </c>
      <c r="I3">
        <v>425</v>
      </c>
      <c r="J3">
        <v>138</v>
      </c>
      <c r="K3">
        <v>287</v>
      </c>
      <c r="L3">
        <v>32.5</v>
      </c>
      <c r="M3">
        <v>0</v>
      </c>
      <c r="N3">
        <v>0</v>
      </c>
      <c r="O3">
        <v>0</v>
      </c>
      <c r="P3">
        <v>0</v>
      </c>
      <c r="Q3">
        <v>425</v>
      </c>
      <c r="R3">
        <v>138</v>
      </c>
      <c r="S3">
        <v>287</v>
      </c>
      <c r="T3">
        <v>32.5</v>
      </c>
    </row>
    <row r="4" spans="1:20" x14ac:dyDescent="0.3">
      <c r="A4" t="s">
        <v>22</v>
      </c>
      <c r="B4">
        <v>295.8</v>
      </c>
      <c r="C4">
        <v>49.44</v>
      </c>
      <c r="D4">
        <v>0</v>
      </c>
      <c r="E4">
        <v>6</v>
      </c>
      <c r="F4">
        <v>0</v>
      </c>
      <c r="G4">
        <v>0</v>
      </c>
      <c r="H4">
        <v>0</v>
      </c>
      <c r="I4">
        <v>51</v>
      </c>
      <c r="J4">
        <v>27</v>
      </c>
      <c r="K4">
        <v>24</v>
      </c>
      <c r="L4">
        <v>52.9</v>
      </c>
      <c r="M4">
        <v>0</v>
      </c>
      <c r="N4">
        <v>0</v>
      </c>
      <c r="O4">
        <v>0</v>
      </c>
      <c r="P4">
        <v>0</v>
      </c>
      <c r="Q4">
        <v>51</v>
      </c>
      <c r="R4">
        <v>27</v>
      </c>
      <c r="S4">
        <v>24</v>
      </c>
      <c r="T4">
        <v>52.9</v>
      </c>
    </row>
    <row r="5" spans="1:20" x14ac:dyDescent="0.3">
      <c r="A5" t="s">
        <v>23</v>
      </c>
      <c r="B5">
        <v>525.5</v>
      </c>
      <c r="C5">
        <v>229.7</v>
      </c>
      <c r="D5">
        <v>5</v>
      </c>
      <c r="E5">
        <v>11</v>
      </c>
      <c r="F5">
        <v>0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865.16</v>
      </c>
      <c r="C6">
        <v>339.66</v>
      </c>
      <c r="D6">
        <v>3</v>
      </c>
      <c r="E6">
        <v>14</v>
      </c>
      <c r="F6">
        <v>1</v>
      </c>
      <c r="G6">
        <v>2</v>
      </c>
      <c r="H6">
        <v>3</v>
      </c>
      <c r="I6">
        <v>308</v>
      </c>
      <c r="J6">
        <v>87</v>
      </c>
      <c r="K6">
        <v>221</v>
      </c>
      <c r="L6">
        <v>28.2</v>
      </c>
      <c r="M6">
        <v>0</v>
      </c>
      <c r="N6">
        <v>0</v>
      </c>
      <c r="O6">
        <v>0</v>
      </c>
      <c r="P6">
        <v>0</v>
      </c>
      <c r="Q6">
        <v>308</v>
      </c>
      <c r="R6">
        <v>87</v>
      </c>
      <c r="S6">
        <v>221</v>
      </c>
      <c r="T6">
        <v>28.2</v>
      </c>
    </row>
    <row r="7" spans="1:20" x14ac:dyDescent="0.3">
      <c r="A7" t="s">
        <v>25</v>
      </c>
      <c r="B7">
        <v>1429.18</v>
      </c>
      <c r="C7">
        <v>564.02</v>
      </c>
      <c r="D7">
        <v>0</v>
      </c>
      <c r="E7">
        <v>14</v>
      </c>
      <c r="F7">
        <v>0</v>
      </c>
      <c r="G7">
        <v>0</v>
      </c>
      <c r="H7">
        <v>20</v>
      </c>
      <c r="I7">
        <v>1501</v>
      </c>
      <c r="J7">
        <v>468</v>
      </c>
      <c r="K7">
        <v>1033</v>
      </c>
      <c r="L7">
        <v>31.2</v>
      </c>
      <c r="M7">
        <v>1</v>
      </c>
      <c r="N7">
        <v>0</v>
      </c>
      <c r="O7">
        <v>1</v>
      </c>
      <c r="P7">
        <v>0</v>
      </c>
      <c r="Q7">
        <v>1502</v>
      </c>
      <c r="R7">
        <v>468</v>
      </c>
      <c r="S7">
        <v>1034</v>
      </c>
      <c r="T7">
        <v>31.2</v>
      </c>
    </row>
    <row r="8" spans="1:20" x14ac:dyDescent="0.3">
      <c r="A8" t="s">
        <v>26</v>
      </c>
      <c r="B8">
        <v>1460.24</v>
      </c>
      <c r="C8">
        <v>31.06</v>
      </c>
      <c r="D8">
        <v>0</v>
      </c>
      <c r="E8">
        <v>14</v>
      </c>
      <c r="F8">
        <v>0</v>
      </c>
      <c r="G8">
        <v>0</v>
      </c>
      <c r="H8">
        <v>4</v>
      </c>
      <c r="I8">
        <v>65</v>
      </c>
      <c r="J8">
        <v>27</v>
      </c>
      <c r="K8">
        <v>38</v>
      </c>
      <c r="L8">
        <v>41.5</v>
      </c>
      <c r="M8">
        <v>4</v>
      </c>
      <c r="N8">
        <v>0</v>
      </c>
      <c r="O8">
        <v>4</v>
      </c>
      <c r="P8">
        <v>0</v>
      </c>
      <c r="Q8">
        <v>69</v>
      </c>
      <c r="R8">
        <v>27</v>
      </c>
      <c r="S8">
        <v>42</v>
      </c>
      <c r="T8">
        <v>39.1</v>
      </c>
    </row>
    <row r="9" spans="1:20" x14ac:dyDescent="0.3">
      <c r="A9" t="s">
        <v>27</v>
      </c>
      <c r="B9">
        <v>1477.04</v>
      </c>
      <c r="C9">
        <v>16.8</v>
      </c>
      <c r="D9">
        <v>0</v>
      </c>
      <c r="E9">
        <v>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1548.8</v>
      </c>
      <c r="C10">
        <v>71.760000000000005</v>
      </c>
      <c r="D10">
        <v>3</v>
      </c>
      <c r="E10">
        <v>17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1560.28</v>
      </c>
      <c r="C11">
        <v>11.48</v>
      </c>
      <c r="D11">
        <v>0</v>
      </c>
      <c r="E11">
        <v>17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1661.22</v>
      </c>
      <c r="C12">
        <v>100.94</v>
      </c>
      <c r="D12">
        <v>1</v>
      </c>
      <c r="E12">
        <v>18</v>
      </c>
      <c r="F12">
        <v>1</v>
      </c>
      <c r="G12">
        <v>0</v>
      </c>
      <c r="H12">
        <v>3</v>
      </c>
      <c r="I12">
        <v>259</v>
      </c>
      <c r="J12">
        <v>196</v>
      </c>
      <c r="K12">
        <v>63</v>
      </c>
      <c r="L12">
        <v>75.7</v>
      </c>
      <c r="M12">
        <v>0</v>
      </c>
      <c r="N12">
        <v>0</v>
      </c>
      <c r="O12">
        <v>0</v>
      </c>
      <c r="P12">
        <v>0</v>
      </c>
      <c r="Q12">
        <v>259</v>
      </c>
      <c r="R12">
        <v>196</v>
      </c>
      <c r="S12">
        <v>63</v>
      </c>
      <c r="T12">
        <v>75.7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193.1</v>
      </c>
      <c r="C3">
        <v>193.1</v>
      </c>
      <c r="D3">
        <v>1</v>
      </c>
      <c r="E3">
        <v>1</v>
      </c>
      <c r="F3">
        <v>1</v>
      </c>
      <c r="G3">
        <v>0</v>
      </c>
      <c r="H3">
        <v>8</v>
      </c>
      <c r="I3">
        <v>113</v>
      </c>
      <c r="J3">
        <v>56</v>
      </c>
      <c r="K3">
        <v>57</v>
      </c>
      <c r="L3">
        <v>49.6</v>
      </c>
      <c r="M3">
        <v>0</v>
      </c>
      <c r="N3">
        <v>0</v>
      </c>
      <c r="O3">
        <v>0</v>
      </c>
      <c r="P3">
        <v>0</v>
      </c>
      <c r="Q3">
        <v>113</v>
      </c>
      <c r="R3">
        <v>56</v>
      </c>
      <c r="S3">
        <v>57</v>
      </c>
      <c r="T3">
        <v>49.6</v>
      </c>
    </row>
    <row r="4" spans="1:20" x14ac:dyDescent="0.3">
      <c r="A4" t="s">
        <v>22</v>
      </c>
      <c r="B4">
        <v>272.5</v>
      </c>
      <c r="C4">
        <v>79.400000000000006</v>
      </c>
      <c r="D4">
        <v>1</v>
      </c>
      <c r="E4">
        <v>2</v>
      </c>
      <c r="F4">
        <v>1</v>
      </c>
      <c r="G4">
        <v>0</v>
      </c>
      <c r="H4">
        <v>0</v>
      </c>
      <c r="I4">
        <v>57</v>
      </c>
      <c r="J4">
        <v>31</v>
      </c>
      <c r="K4">
        <v>26</v>
      </c>
      <c r="L4">
        <v>54.4</v>
      </c>
      <c r="M4">
        <v>0</v>
      </c>
      <c r="N4">
        <v>0</v>
      </c>
      <c r="O4">
        <v>0</v>
      </c>
      <c r="P4">
        <v>0</v>
      </c>
      <c r="Q4">
        <v>57</v>
      </c>
      <c r="R4">
        <v>31</v>
      </c>
      <c r="S4">
        <v>26</v>
      </c>
      <c r="T4">
        <v>54.4</v>
      </c>
    </row>
    <row r="5" spans="1:20" x14ac:dyDescent="0.3">
      <c r="A5" t="s">
        <v>23</v>
      </c>
      <c r="B5">
        <v>432.42</v>
      </c>
      <c r="C5">
        <v>159.91999999999999</v>
      </c>
      <c r="D5">
        <v>4</v>
      </c>
      <c r="E5">
        <v>6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674.72</v>
      </c>
      <c r="C6">
        <v>242.3</v>
      </c>
      <c r="D6">
        <v>11</v>
      </c>
      <c r="E6">
        <v>17</v>
      </c>
      <c r="F6">
        <v>0</v>
      </c>
      <c r="G6">
        <v>11</v>
      </c>
      <c r="H6">
        <v>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14.14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56.6</v>
      </c>
      <c r="C8">
        <v>42.46</v>
      </c>
      <c r="D8">
        <v>0</v>
      </c>
      <c r="E8">
        <v>0</v>
      </c>
      <c r="F8">
        <v>0</v>
      </c>
      <c r="G8">
        <v>0</v>
      </c>
      <c r="H8">
        <v>4</v>
      </c>
      <c r="I8">
        <v>60</v>
      </c>
      <c r="J8">
        <v>26</v>
      </c>
      <c r="K8">
        <v>34</v>
      </c>
      <c r="L8">
        <v>43.3</v>
      </c>
      <c r="M8">
        <v>3</v>
      </c>
      <c r="N8">
        <v>1</v>
      </c>
      <c r="O8">
        <v>2</v>
      </c>
      <c r="P8">
        <v>33.299999999999997</v>
      </c>
      <c r="Q8">
        <v>63</v>
      </c>
      <c r="R8">
        <v>27</v>
      </c>
      <c r="S8">
        <v>36</v>
      </c>
      <c r="T8">
        <v>42.9</v>
      </c>
    </row>
    <row r="9" spans="1:20" x14ac:dyDescent="0.3">
      <c r="A9" t="s">
        <v>27</v>
      </c>
      <c r="B9">
        <v>121.52</v>
      </c>
      <c r="C9">
        <v>64.92</v>
      </c>
      <c r="D9">
        <v>3</v>
      </c>
      <c r="E9">
        <v>3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221.14</v>
      </c>
      <c r="C10">
        <v>99.62</v>
      </c>
      <c r="D10">
        <v>6</v>
      </c>
      <c r="E10">
        <v>9</v>
      </c>
      <c r="F10">
        <v>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230.02</v>
      </c>
      <c r="C11">
        <v>8.8800000000000008</v>
      </c>
      <c r="D11">
        <v>0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450.7</v>
      </c>
      <c r="C12">
        <v>220.68</v>
      </c>
      <c r="D12">
        <v>2</v>
      </c>
      <c r="E12">
        <v>11</v>
      </c>
      <c r="F12">
        <v>0</v>
      </c>
      <c r="G12">
        <v>2</v>
      </c>
      <c r="H12">
        <v>2</v>
      </c>
      <c r="I12">
        <v>30</v>
      </c>
      <c r="J12">
        <v>20</v>
      </c>
      <c r="K12">
        <v>10</v>
      </c>
      <c r="L12">
        <v>66.7</v>
      </c>
      <c r="M12">
        <v>29</v>
      </c>
      <c r="N12">
        <v>12</v>
      </c>
      <c r="O12">
        <v>17</v>
      </c>
      <c r="P12">
        <v>41.4</v>
      </c>
      <c r="Q12">
        <v>59</v>
      </c>
      <c r="R12">
        <v>32</v>
      </c>
      <c r="S12">
        <v>27</v>
      </c>
      <c r="T12">
        <v>54.2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88.36</v>
      </c>
      <c r="C3">
        <v>88.18</v>
      </c>
      <c r="D3">
        <v>1</v>
      </c>
      <c r="E3">
        <v>1</v>
      </c>
      <c r="F3">
        <v>1</v>
      </c>
      <c r="G3">
        <v>0</v>
      </c>
      <c r="H3">
        <v>7</v>
      </c>
      <c r="I3">
        <v>156</v>
      </c>
      <c r="J3">
        <v>49</v>
      </c>
      <c r="K3">
        <v>107</v>
      </c>
      <c r="L3">
        <v>31.4</v>
      </c>
      <c r="M3">
        <v>0</v>
      </c>
      <c r="N3">
        <v>0</v>
      </c>
      <c r="O3">
        <v>0</v>
      </c>
      <c r="P3">
        <v>0</v>
      </c>
      <c r="Q3">
        <v>156</v>
      </c>
      <c r="R3">
        <v>49</v>
      </c>
      <c r="S3">
        <v>107</v>
      </c>
      <c r="T3">
        <v>31.4</v>
      </c>
    </row>
    <row r="4" spans="1:20" x14ac:dyDescent="0.3">
      <c r="A4" t="s">
        <v>22</v>
      </c>
      <c r="B4">
        <v>135.04</v>
      </c>
      <c r="C4">
        <v>46.68</v>
      </c>
      <c r="D4">
        <v>0</v>
      </c>
      <c r="E4">
        <v>1</v>
      </c>
      <c r="F4">
        <v>0</v>
      </c>
      <c r="G4">
        <v>0</v>
      </c>
      <c r="H4">
        <v>0</v>
      </c>
      <c r="I4">
        <v>55</v>
      </c>
      <c r="J4">
        <v>27</v>
      </c>
      <c r="K4">
        <v>28</v>
      </c>
      <c r="L4">
        <v>49.1</v>
      </c>
      <c r="M4">
        <v>0</v>
      </c>
      <c r="N4">
        <v>0</v>
      </c>
      <c r="O4">
        <v>0</v>
      </c>
      <c r="P4">
        <v>0</v>
      </c>
      <c r="Q4">
        <v>55</v>
      </c>
      <c r="R4">
        <v>27</v>
      </c>
      <c r="S4">
        <v>28</v>
      </c>
      <c r="T4">
        <v>49.1</v>
      </c>
    </row>
    <row r="5" spans="1:20" x14ac:dyDescent="0.3">
      <c r="A5" t="s">
        <v>23</v>
      </c>
      <c r="B5">
        <v>384.52</v>
      </c>
      <c r="C5">
        <v>249.48</v>
      </c>
      <c r="D5">
        <v>8</v>
      </c>
      <c r="E5">
        <v>9</v>
      </c>
      <c r="F5">
        <v>0</v>
      </c>
      <c r="G5">
        <v>8</v>
      </c>
      <c r="H5">
        <v>0</v>
      </c>
      <c r="I5">
        <v>54</v>
      </c>
      <c r="J5">
        <v>0</v>
      </c>
      <c r="K5">
        <v>54</v>
      </c>
      <c r="L5">
        <v>0</v>
      </c>
      <c r="M5">
        <v>0</v>
      </c>
      <c r="N5">
        <v>0</v>
      </c>
      <c r="O5">
        <v>0</v>
      </c>
      <c r="P5">
        <v>0</v>
      </c>
      <c r="Q5">
        <v>54</v>
      </c>
      <c r="R5">
        <v>0</v>
      </c>
      <c r="S5">
        <v>54</v>
      </c>
      <c r="T5">
        <v>0</v>
      </c>
    </row>
    <row r="6" spans="1:20" x14ac:dyDescent="0.3">
      <c r="A6" t="s">
        <v>24</v>
      </c>
      <c r="B6">
        <v>431.26</v>
      </c>
      <c r="C6">
        <v>46.74</v>
      </c>
      <c r="D6">
        <v>1</v>
      </c>
      <c r="E6">
        <v>10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947.3</v>
      </c>
      <c r="C7">
        <v>516.04</v>
      </c>
      <c r="D7">
        <v>2</v>
      </c>
      <c r="E7">
        <v>12</v>
      </c>
      <c r="F7">
        <v>1</v>
      </c>
      <c r="G7">
        <v>1</v>
      </c>
      <c r="H7">
        <v>24</v>
      </c>
      <c r="I7">
        <v>704</v>
      </c>
      <c r="J7">
        <v>273</v>
      </c>
      <c r="K7">
        <v>431</v>
      </c>
      <c r="L7">
        <v>38.799999999999997</v>
      </c>
      <c r="M7">
        <v>110</v>
      </c>
      <c r="N7">
        <v>20</v>
      </c>
      <c r="O7">
        <v>90</v>
      </c>
      <c r="P7">
        <v>18.2</v>
      </c>
      <c r="Q7">
        <v>814</v>
      </c>
      <c r="R7">
        <v>293</v>
      </c>
      <c r="S7">
        <v>521</v>
      </c>
      <c r="T7">
        <v>36</v>
      </c>
    </row>
    <row r="8" spans="1:20" x14ac:dyDescent="0.3">
      <c r="A8" t="s">
        <v>26</v>
      </c>
      <c r="B8">
        <v>965.94</v>
      </c>
      <c r="C8">
        <v>18.64</v>
      </c>
      <c r="D8">
        <v>0</v>
      </c>
      <c r="E8">
        <v>12</v>
      </c>
      <c r="F8">
        <v>0</v>
      </c>
      <c r="G8">
        <v>0</v>
      </c>
      <c r="H8">
        <v>4</v>
      </c>
      <c r="I8">
        <v>36</v>
      </c>
      <c r="J8">
        <v>23</v>
      </c>
      <c r="K8">
        <v>13</v>
      </c>
      <c r="L8">
        <v>63.9</v>
      </c>
      <c r="M8">
        <v>4</v>
      </c>
      <c r="N8">
        <v>0</v>
      </c>
      <c r="O8">
        <v>4</v>
      </c>
      <c r="P8">
        <v>0</v>
      </c>
      <c r="Q8">
        <v>40</v>
      </c>
      <c r="R8">
        <v>23</v>
      </c>
      <c r="S8">
        <v>17</v>
      </c>
      <c r="T8">
        <v>57.5</v>
      </c>
    </row>
    <row r="9" spans="1:20" x14ac:dyDescent="0.3">
      <c r="A9" t="s">
        <v>27</v>
      </c>
      <c r="B9">
        <v>980.78</v>
      </c>
      <c r="C9">
        <v>14.84</v>
      </c>
      <c r="D9">
        <v>0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996.78</v>
      </c>
      <c r="C10">
        <v>16</v>
      </c>
      <c r="D10">
        <v>0</v>
      </c>
      <c r="E10">
        <v>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1003.66</v>
      </c>
      <c r="C11">
        <v>6.88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1110.58</v>
      </c>
      <c r="C12">
        <v>106.92</v>
      </c>
      <c r="D12">
        <v>2</v>
      </c>
      <c r="E12">
        <v>14</v>
      </c>
      <c r="F12">
        <v>0</v>
      </c>
      <c r="G12">
        <v>2</v>
      </c>
      <c r="H12">
        <v>3</v>
      </c>
      <c r="I12">
        <v>316</v>
      </c>
      <c r="J12">
        <v>224</v>
      </c>
      <c r="K12">
        <v>92</v>
      </c>
      <c r="L12">
        <v>70.900000000000006</v>
      </c>
      <c r="M12">
        <v>0</v>
      </c>
      <c r="N12">
        <v>0</v>
      </c>
      <c r="O12">
        <v>0</v>
      </c>
      <c r="P12">
        <v>0</v>
      </c>
      <c r="Q12">
        <v>316</v>
      </c>
      <c r="R12">
        <v>224</v>
      </c>
      <c r="S12">
        <v>92</v>
      </c>
      <c r="T12">
        <v>70.900000000000006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65.959999999999994</v>
      </c>
      <c r="C3">
        <v>65.78</v>
      </c>
      <c r="D3">
        <v>0</v>
      </c>
      <c r="E3">
        <v>0</v>
      </c>
      <c r="F3">
        <v>0</v>
      </c>
      <c r="G3">
        <v>0</v>
      </c>
      <c r="H3">
        <v>6</v>
      </c>
      <c r="I3">
        <v>96</v>
      </c>
      <c r="J3">
        <v>42</v>
      </c>
      <c r="K3">
        <v>54</v>
      </c>
      <c r="L3">
        <v>43.8</v>
      </c>
      <c r="M3">
        <v>0</v>
      </c>
      <c r="N3">
        <v>0</v>
      </c>
      <c r="O3">
        <v>0</v>
      </c>
      <c r="P3">
        <v>0</v>
      </c>
      <c r="Q3">
        <v>96</v>
      </c>
      <c r="R3">
        <v>42</v>
      </c>
      <c r="S3">
        <v>54</v>
      </c>
      <c r="T3">
        <v>43.8</v>
      </c>
    </row>
    <row r="4" spans="1:20" x14ac:dyDescent="0.3">
      <c r="A4" t="s">
        <v>22</v>
      </c>
      <c r="B4">
        <v>115.94</v>
      </c>
      <c r="C4">
        <v>49.98</v>
      </c>
      <c r="D4">
        <v>1</v>
      </c>
      <c r="E4">
        <v>1</v>
      </c>
      <c r="F4">
        <v>1</v>
      </c>
      <c r="G4">
        <v>0</v>
      </c>
      <c r="H4">
        <v>0</v>
      </c>
      <c r="I4">
        <v>61</v>
      </c>
      <c r="J4">
        <v>50</v>
      </c>
      <c r="K4">
        <v>11</v>
      </c>
      <c r="L4">
        <v>82</v>
      </c>
      <c r="M4">
        <v>0</v>
      </c>
      <c r="N4">
        <v>0</v>
      </c>
      <c r="O4">
        <v>0</v>
      </c>
      <c r="P4">
        <v>0</v>
      </c>
      <c r="Q4">
        <v>61</v>
      </c>
      <c r="R4">
        <v>50</v>
      </c>
      <c r="S4">
        <v>11</v>
      </c>
      <c r="T4">
        <v>82</v>
      </c>
    </row>
    <row r="5" spans="1:20" x14ac:dyDescent="0.3">
      <c r="A5" t="s">
        <v>23</v>
      </c>
      <c r="B5">
        <v>171.76</v>
      </c>
      <c r="C5">
        <v>55.82</v>
      </c>
      <c r="D5">
        <v>1</v>
      </c>
      <c r="E5">
        <v>2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208.2</v>
      </c>
      <c r="C6">
        <v>36.44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957.48</v>
      </c>
      <c r="C7">
        <v>749.28</v>
      </c>
      <c r="D7">
        <v>5</v>
      </c>
      <c r="E7">
        <v>7</v>
      </c>
      <c r="F7">
        <v>4</v>
      </c>
      <c r="G7">
        <v>1</v>
      </c>
      <c r="H7">
        <v>32</v>
      </c>
      <c r="I7">
        <v>1427</v>
      </c>
      <c r="J7">
        <v>574</v>
      </c>
      <c r="K7">
        <v>853</v>
      </c>
      <c r="L7">
        <v>40.200000000000003</v>
      </c>
      <c r="M7">
        <v>69</v>
      </c>
      <c r="N7">
        <v>19</v>
      </c>
      <c r="O7">
        <v>50</v>
      </c>
      <c r="P7">
        <v>27.5</v>
      </c>
      <c r="Q7">
        <v>1496</v>
      </c>
      <c r="R7">
        <v>593</v>
      </c>
      <c r="S7">
        <v>903</v>
      </c>
      <c r="T7">
        <v>39.6</v>
      </c>
    </row>
    <row r="8" spans="1:20" x14ac:dyDescent="0.3">
      <c r="A8" t="s">
        <v>26</v>
      </c>
      <c r="B8">
        <v>969.1</v>
      </c>
      <c r="C8">
        <v>11.62</v>
      </c>
      <c r="D8">
        <v>0</v>
      </c>
      <c r="E8">
        <v>7</v>
      </c>
      <c r="F8">
        <v>0</v>
      </c>
      <c r="G8">
        <v>0</v>
      </c>
      <c r="H8">
        <v>4</v>
      </c>
      <c r="I8">
        <v>41</v>
      </c>
      <c r="J8">
        <v>28</v>
      </c>
      <c r="K8">
        <v>13</v>
      </c>
      <c r="L8">
        <v>68.3</v>
      </c>
      <c r="M8">
        <v>0</v>
      </c>
      <c r="N8">
        <v>0</v>
      </c>
      <c r="O8">
        <v>0</v>
      </c>
      <c r="P8">
        <v>0</v>
      </c>
      <c r="Q8">
        <v>41</v>
      </c>
      <c r="R8">
        <v>28</v>
      </c>
      <c r="S8">
        <v>13</v>
      </c>
      <c r="T8">
        <v>68.3</v>
      </c>
    </row>
    <row r="9" spans="1:20" x14ac:dyDescent="0.3">
      <c r="A9" t="s">
        <v>27</v>
      </c>
      <c r="B9">
        <v>1005.1</v>
      </c>
      <c r="C9">
        <v>36</v>
      </c>
      <c r="D9">
        <v>1</v>
      </c>
      <c r="E9">
        <v>8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1021.42</v>
      </c>
      <c r="C10">
        <v>16.32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1028.68</v>
      </c>
      <c r="C11">
        <v>7.26</v>
      </c>
      <c r="D11">
        <v>0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1104.8499999999999</v>
      </c>
      <c r="C12">
        <v>76.17</v>
      </c>
      <c r="D12">
        <v>1</v>
      </c>
      <c r="E12">
        <v>9</v>
      </c>
      <c r="F12">
        <v>0</v>
      </c>
      <c r="G12">
        <v>1</v>
      </c>
      <c r="H12">
        <v>2</v>
      </c>
      <c r="I12">
        <v>138</v>
      </c>
      <c r="J12">
        <v>105</v>
      </c>
      <c r="K12">
        <v>33</v>
      </c>
      <c r="L12">
        <v>76.099999999999994</v>
      </c>
      <c r="M12">
        <v>6</v>
      </c>
      <c r="N12">
        <v>6</v>
      </c>
      <c r="O12">
        <v>0</v>
      </c>
      <c r="P12">
        <v>100</v>
      </c>
      <c r="Q12">
        <v>144</v>
      </c>
      <c r="R12">
        <v>111</v>
      </c>
      <c r="S12">
        <v>33</v>
      </c>
      <c r="T12">
        <v>77.099999999999994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116.5</v>
      </c>
      <c r="C3">
        <v>116.3</v>
      </c>
      <c r="D3">
        <v>1</v>
      </c>
      <c r="E3">
        <v>1</v>
      </c>
      <c r="F3">
        <v>1</v>
      </c>
      <c r="G3">
        <v>0</v>
      </c>
      <c r="H3">
        <v>8</v>
      </c>
      <c r="I3">
        <v>202</v>
      </c>
      <c r="J3">
        <v>62</v>
      </c>
      <c r="K3">
        <v>140</v>
      </c>
      <c r="L3">
        <v>30.7</v>
      </c>
      <c r="M3">
        <v>0</v>
      </c>
      <c r="N3">
        <v>0</v>
      </c>
      <c r="O3">
        <v>0</v>
      </c>
      <c r="P3">
        <v>0</v>
      </c>
      <c r="Q3">
        <v>202</v>
      </c>
      <c r="R3">
        <v>62</v>
      </c>
      <c r="S3">
        <v>140</v>
      </c>
      <c r="T3">
        <v>30.7</v>
      </c>
    </row>
    <row r="4" spans="1:20" x14ac:dyDescent="0.3">
      <c r="A4" t="s">
        <v>22</v>
      </c>
      <c r="B4">
        <v>166.42</v>
      </c>
      <c r="C4">
        <v>49.92</v>
      </c>
      <c r="D4">
        <v>0</v>
      </c>
      <c r="E4">
        <v>1</v>
      </c>
      <c r="F4">
        <v>0</v>
      </c>
      <c r="G4">
        <v>0</v>
      </c>
      <c r="H4">
        <v>0</v>
      </c>
      <c r="I4">
        <v>48</v>
      </c>
      <c r="J4">
        <v>27</v>
      </c>
      <c r="K4">
        <v>21</v>
      </c>
      <c r="L4">
        <v>56.3</v>
      </c>
      <c r="M4">
        <v>0</v>
      </c>
      <c r="N4">
        <v>0</v>
      </c>
      <c r="O4">
        <v>0</v>
      </c>
      <c r="P4">
        <v>0</v>
      </c>
      <c r="Q4">
        <v>48</v>
      </c>
      <c r="R4">
        <v>27</v>
      </c>
      <c r="S4">
        <v>21</v>
      </c>
      <c r="T4">
        <v>56.3</v>
      </c>
    </row>
    <row r="5" spans="1:20" x14ac:dyDescent="0.3">
      <c r="A5" t="s">
        <v>23</v>
      </c>
      <c r="B5">
        <v>279.22000000000003</v>
      </c>
      <c r="C5">
        <v>112.8</v>
      </c>
      <c r="D5">
        <v>3</v>
      </c>
      <c r="E5">
        <v>4</v>
      </c>
      <c r="F5">
        <v>0</v>
      </c>
      <c r="G5">
        <v>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318.66000000000003</v>
      </c>
      <c r="C6">
        <v>39.44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728.5</v>
      </c>
      <c r="C7">
        <v>409.84</v>
      </c>
      <c r="D7">
        <v>0</v>
      </c>
      <c r="E7">
        <v>4</v>
      </c>
      <c r="F7">
        <v>0</v>
      </c>
      <c r="G7">
        <v>0</v>
      </c>
      <c r="H7">
        <v>23</v>
      </c>
      <c r="I7">
        <v>723</v>
      </c>
      <c r="J7">
        <v>331</v>
      </c>
      <c r="K7">
        <v>392</v>
      </c>
      <c r="L7">
        <v>45.8</v>
      </c>
      <c r="M7">
        <v>70</v>
      </c>
      <c r="N7">
        <v>19</v>
      </c>
      <c r="O7">
        <v>51</v>
      </c>
      <c r="P7">
        <v>27.1</v>
      </c>
      <c r="Q7">
        <v>793</v>
      </c>
      <c r="R7">
        <v>350</v>
      </c>
      <c r="S7">
        <v>443</v>
      </c>
      <c r="T7">
        <v>44.1</v>
      </c>
    </row>
    <row r="8" spans="1:20" x14ac:dyDescent="0.3">
      <c r="A8" t="s">
        <v>26</v>
      </c>
      <c r="B8">
        <v>740.22</v>
      </c>
      <c r="C8">
        <v>11.72</v>
      </c>
      <c r="D8">
        <v>0</v>
      </c>
      <c r="E8">
        <v>4</v>
      </c>
      <c r="F8">
        <v>0</v>
      </c>
      <c r="G8">
        <v>0</v>
      </c>
      <c r="H8">
        <v>4</v>
      </c>
      <c r="I8">
        <v>26</v>
      </c>
      <c r="J8">
        <v>21</v>
      </c>
      <c r="K8">
        <v>5</v>
      </c>
      <c r="L8">
        <v>80.8</v>
      </c>
      <c r="M8">
        <v>2</v>
      </c>
      <c r="N8">
        <v>1</v>
      </c>
      <c r="O8">
        <v>1</v>
      </c>
      <c r="P8">
        <v>50</v>
      </c>
      <c r="Q8">
        <v>28</v>
      </c>
      <c r="R8">
        <v>22</v>
      </c>
      <c r="S8">
        <v>6</v>
      </c>
      <c r="T8">
        <v>78.599999999999994</v>
      </c>
    </row>
    <row r="9" spans="1:20" x14ac:dyDescent="0.3">
      <c r="A9" t="s">
        <v>27</v>
      </c>
      <c r="B9">
        <v>755.72</v>
      </c>
      <c r="C9">
        <v>15.5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842.54</v>
      </c>
      <c r="C10">
        <v>86.82</v>
      </c>
      <c r="D10">
        <v>4</v>
      </c>
      <c r="E10">
        <v>8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851.04</v>
      </c>
      <c r="C11">
        <v>8.5</v>
      </c>
      <c r="D11">
        <v>0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1000.49</v>
      </c>
      <c r="C12">
        <v>149.44</v>
      </c>
      <c r="D12">
        <v>4</v>
      </c>
      <c r="E12">
        <v>12</v>
      </c>
      <c r="F12">
        <v>0</v>
      </c>
      <c r="G12">
        <v>4</v>
      </c>
      <c r="H12">
        <v>9</v>
      </c>
      <c r="I12">
        <v>303</v>
      </c>
      <c r="J12">
        <v>252</v>
      </c>
      <c r="K12">
        <v>51</v>
      </c>
      <c r="L12">
        <v>83.2</v>
      </c>
      <c r="M12">
        <v>28</v>
      </c>
      <c r="N12">
        <v>18</v>
      </c>
      <c r="O12">
        <v>10</v>
      </c>
      <c r="P12">
        <v>64.3</v>
      </c>
      <c r="Q12">
        <v>331</v>
      </c>
      <c r="R12">
        <v>270</v>
      </c>
      <c r="S12">
        <v>61</v>
      </c>
      <c r="T12">
        <v>81.599999999999994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253.64</v>
      </c>
      <c r="C3">
        <v>253.64</v>
      </c>
      <c r="D3">
        <v>4</v>
      </c>
      <c r="E3">
        <v>4</v>
      </c>
      <c r="F3">
        <v>3</v>
      </c>
      <c r="G3">
        <v>1</v>
      </c>
      <c r="H3">
        <v>9</v>
      </c>
      <c r="I3">
        <v>269</v>
      </c>
      <c r="J3">
        <v>70</v>
      </c>
      <c r="K3">
        <v>199</v>
      </c>
      <c r="L3">
        <v>26</v>
      </c>
      <c r="M3">
        <v>0</v>
      </c>
      <c r="N3">
        <v>0</v>
      </c>
      <c r="O3">
        <v>0</v>
      </c>
      <c r="P3">
        <v>0</v>
      </c>
      <c r="Q3">
        <v>269</v>
      </c>
      <c r="R3">
        <v>70</v>
      </c>
      <c r="S3">
        <v>199</v>
      </c>
      <c r="T3">
        <v>26</v>
      </c>
    </row>
    <row r="4" spans="1:20" x14ac:dyDescent="0.3">
      <c r="A4" t="s">
        <v>22</v>
      </c>
      <c r="B4">
        <v>329.46</v>
      </c>
      <c r="C4">
        <v>75.819999999999993</v>
      </c>
      <c r="D4">
        <v>0</v>
      </c>
      <c r="E4">
        <v>4</v>
      </c>
      <c r="F4">
        <v>0</v>
      </c>
      <c r="G4">
        <v>0</v>
      </c>
      <c r="H4">
        <v>0</v>
      </c>
      <c r="I4">
        <v>60</v>
      </c>
      <c r="J4">
        <v>27</v>
      </c>
      <c r="K4">
        <v>33</v>
      </c>
      <c r="L4">
        <v>45</v>
      </c>
      <c r="M4">
        <v>0</v>
      </c>
      <c r="N4">
        <v>0</v>
      </c>
      <c r="O4">
        <v>0</v>
      </c>
      <c r="P4">
        <v>0</v>
      </c>
      <c r="Q4">
        <v>60</v>
      </c>
      <c r="R4">
        <v>27</v>
      </c>
      <c r="S4">
        <v>33</v>
      </c>
      <c r="T4">
        <v>45</v>
      </c>
    </row>
    <row r="5" spans="1:20" x14ac:dyDescent="0.3">
      <c r="A5" t="s">
        <v>23</v>
      </c>
      <c r="B5">
        <v>498.02</v>
      </c>
      <c r="C5">
        <v>168.56</v>
      </c>
      <c r="D5">
        <v>3</v>
      </c>
      <c r="E5">
        <v>7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655.98</v>
      </c>
      <c r="C6">
        <v>157.96</v>
      </c>
      <c r="D6">
        <v>4</v>
      </c>
      <c r="E6">
        <v>11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945.64</v>
      </c>
      <c r="C7">
        <v>945.38</v>
      </c>
      <c r="D7">
        <v>7</v>
      </c>
      <c r="E7">
        <v>7</v>
      </c>
      <c r="F7">
        <v>2</v>
      </c>
      <c r="G7">
        <v>5</v>
      </c>
      <c r="H7">
        <v>21</v>
      </c>
      <c r="I7">
        <v>1434</v>
      </c>
      <c r="J7">
        <v>456</v>
      </c>
      <c r="K7">
        <v>978</v>
      </c>
      <c r="L7">
        <v>31.8</v>
      </c>
      <c r="M7">
        <v>32</v>
      </c>
      <c r="N7">
        <v>6</v>
      </c>
      <c r="O7">
        <v>26</v>
      </c>
      <c r="P7">
        <v>18.8</v>
      </c>
      <c r="Q7">
        <v>1466</v>
      </c>
      <c r="R7">
        <v>462</v>
      </c>
      <c r="S7">
        <v>1004</v>
      </c>
      <c r="T7">
        <v>31.5</v>
      </c>
    </row>
    <row r="8" spans="1:20" x14ac:dyDescent="0.3">
      <c r="A8" t="s">
        <v>26</v>
      </c>
      <c r="B8">
        <v>47.38</v>
      </c>
      <c r="C8">
        <v>41.24</v>
      </c>
      <c r="D8">
        <v>1</v>
      </c>
      <c r="E8">
        <v>1</v>
      </c>
      <c r="F8">
        <v>1</v>
      </c>
      <c r="G8">
        <v>0</v>
      </c>
      <c r="H8">
        <v>5</v>
      </c>
      <c r="I8">
        <v>66</v>
      </c>
      <c r="J8">
        <v>35</v>
      </c>
      <c r="K8">
        <v>31</v>
      </c>
      <c r="L8">
        <v>53</v>
      </c>
      <c r="M8">
        <v>0</v>
      </c>
      <c r="N8">
        <v>0</v>
      </c>
      <c r="O8">
        <v>0</v>
      </c>
      <c r="P8">
        <v>0</v>
      </c>
      <c r="Q8">
        <v>66</v>
      </c>
      <c r="R8">
        <v>35</v>
      </c>
      <c r="S8">
        <v>31</v>
      </c>
      <c r="T8">
        <v>53</v>
      </c>
    </row>
    <row r="9" spans="1:20" x14ac:dyDescent="0.3">
      <c r="A9" t="s">
        <v>27</v>
      </c>
      <c r="B9">
        <v>82.5</v>
      </c>
      <c r="C9">
        <v>35.119999999999997</v>
      </c>
      <c r="D9">
        <v>1</v>
      </c>
      <c r="E9">
        <v>2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180.5</v>
      </c>
      <c r="C10">
        <v>98</v>
      </c>
      <c r="D10">
        <v>5</v>
      </c>
      <c r="E10">
        <v>7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201.72</v>
      </c>
      <c r="C11">
        <v>21.22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540.54999999999995</v>
      </c>
      <c r="C12">
        <v>338.83</v>
      </c>
      <c r="D12">
        <v>6</v>
      </c>
      <c r="E12">
        <v>13</v>
      </c>
      <c r="F12">
        <v>0</v>
      </c>
      <c r="G12">
        <v>6</v>
      </c>
      <c r="H12">
        <v>9</v>
      </c>
      <c r="I12">
        <v>561</v>
      </c>
      <c r="J12">
        <v>433</v>
      </c>
      <c r="K12">
        <v>128</v>
      </c>
      <c r="L12">
        <v>77.2</v>
      </c>
      <c r="M12">
        <v>19</v>
      </c>
      <c r="N12">
        <v>10</v>
      </c>
      <c r="O12">
        <v>9</v>
      </c>
      <c r="P12">
        <v>52.6</v>
      </c>
      <c r="Q12">
        <v>580</v>
      </c>
      <c r="R12">
        <v>443</v>
      </c>
      <c r="S12">
        <v>137</v>
      </c>
      <c r="T12">
        <v>76.400000000000006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152.36000000000001</v>
      </c>
      <c r="C3">
        <v>152.16</v>
      </c>
      <c r="D3">
        <v>2</v>
      </c>
      <c r="E3">
        <v>2</v>
      </c>
      <c r="F3">
        <v>2</v>
      </c>
      <c r="G3">
        <v>0</v>
      </c>
      <c r="H3">
        <v>7</v>
      </c>
      <c r="I3">
        <v>155</v>
      </c>
      <c r="J3">
        <v>56</v>
      </c>
      <c r="K3">
        <v>99</v>
      </c>
      <c r="L3">
        <v>36.1</v>
      </c>
      <c r="M3">
        <v>0</v>
      </c>
      <c r="N3">
        <v>0</v>
      </c>
      <c r="O3">
        <v>0</v>
      </c>
      <c r="P3">
        <v>0</v>
      </c>
      <c r="Q3">
        <v>155</v>
      </c>
      <c r="R3">
        <v>56</v>
      </c>
      <c r="S3">
        <v>99</v>
      </c>
      <c r="T3">
        <v>36.1</v>
      </c>
    </row>
    <row r="4" spans="1:20" x14ac:dyDescent="0.3">
      <c r="A4" t="s">
        <v>22</v>
      </c>
      <c r="B4">
        <v>221.2</v>
      </c>
      <c r="C4">
        <v>68.84</v>
      </c>
      <c r="D4">
        <v>1</v>
      </c>
      <c r="E4">
        <v>3</v>
      </c>
      <c r="F4">
        <v>1</v>
      </c>
      <c r="G4">
        <v>0</v>
      </c>
      <c r="H4">
        <v>0</v>
      </c>
      <c r="I4">
        <v>61</v>
      </c>
      <c r="J4">
        <v>36</v>
      </c>
      <c r="K4">
        <v>25</v>
      </c>
      <c r="L4">
        <v>59</v>
      </c>
      <c r="M4">
        <v>0</v>
      </c>
      <c r="N4">
        <v>0</v>
      </c>
      <c r="O4">
        <v>0</v>
      </c>
      <c r="P4">
        <v>0</v>
      </c>
      <c r="Q4">
        <v>61</v>
      </c>
      <c r="R4">
        <v>36</v>
      </c>
      <c r="S4">
        <v>25</v>
      </c>
      <c r="T4">
        <v>59</v>
      </c>
    </row>
    <row r="5" spans="1:20" x14ac:dyDescent="0.3">
      <c r="A5" t="s">
        <v>23</v>
      </c>
      <c r="B5">
        <v>363.44</v>
      </c>
      <c r="C5">
        <v>142.24</v>
      </c>
      <c r="D5">
        <v>3</v>
      </c>
      <c r="E5">
        <v>6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419.24</v>
      </c>
      <c r="C6">
        <v>55.8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1499.36</v>
      </c>
      <c r="C7">
        <v>1080.1199999999999</v>
      </c>
      <c r="D7">
        <v>3</v>
      </c>
      <c r="E7">
        <v>9</v>
      </c>
      <c r="F7">
        <v>2</v>
      </c>
      <c r="G7">
        <v>1</v>
      </c>
      <c r="H7">
        <v>23</v>
      </c>
      <c r="I7">
        <v>567</v>
      </c>
      <c r="J7">
        <v>132</v>
      </c>
      <c r="K7">
        <v>435</v>
      </c>
      <c r="L7">
        <v>23.3</v>
      </c>
      <c r="M7">
        <v>254</v>
      </c>
      <c r="N7">
        <v>14</v>
      </c>
      <c r="O7">
        <v>240</v>
      </c>
      <c r="P7">
        <v>5.5</v>
      </c>
      <c r="Q7">
        <v>821</v>
      </c>
      <c r="R7">
        <v>146</v>
      </c>
      <c r="S7">
        <v>675</v>
      </c>
      <c r="T7">
        <v>17.8</v>
      </c>
    </row>
    <row r="8" spans="1:20" x14ac:dyDescent="0.3">
      <c r="A8" t="s">
        <v>26</v>
      </c>
      <c r="B8">
        <v>1521.94</v>
      </c>
      <c r="C8">
        <v>22.58</v>
      </c>
      <c r="D8">
        <v>0</v>
      </c>
      <c r="E8">
        <v>9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9</v>
      </c>
      <c r="N8">
        <v>4</v>
      </c>
      <c r="O8">
        <v>5</v>
      </c>
      <c r="P8">
        <v>44.4</v>
      </c>
      <c r="Q8">
        <v>9</v>
      </c>
      <c r="R8">
        <v>4</v>
      </c>
      <c r="S8">
        <v>5</v>
      </c>
      <c r="T8">
        <v>44.4</v>
      </c>
    </row>
    <row r="9" spans="1:20" x14ac:dyDescent="0.3">
      <c r="A9" t="s">
        <v>27</v>
      </c>
      <c r="B9">
        <v>1568.48</v>
      </c>
      <c r="C9">
        <v>46.54</v>
      </c>
      <c r="D9">
        <v>2</v>
      </c>
      <c r="E9">
        <v>11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1916.22</v>
      </c>
      <c r="C10">
        <v>347.74</v>
      </c>
      <c r="D10">
        <v>22</v>
      </c>
      <c r="E10">
        <v>33</v>
      </c>
      <c r="F10">
        <v>0</v>
      </c>
      <c r="G10">
        <v>22</v>
      </c>
      <c r="H10">
        <v>0</v>
      </c>
      <c r="I10">
        <v>4</v>
      </c>
      <c r="J10">
        <v>0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4</v>
      </c>
      <c r="T10">
        <v>0</v>
      </c>
    </row>
    <row r="11" spans="1:20" x14ac:dyDescent="0.3">
      <c r="A11" t="s">
        <v>29</v>
      </c>
      <c r="B11">
        <v>1928.7</v>
      </c>
      <c r="C11">
        <v>12.48</v>
      </c>
      <c r="D11">
        <v>0</v>
      </c>
      <c r="E11">
        <v>33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2653.89</v>
      </c>
      <c r="C12">
        <v>725.19</v>
      </c>
      <c r="D12">
        <v>20</v>
      </c>
      <c r="E12">
        <v>53</v>
      </c>
      <c r="F12">
        <v>0</v>
      </c>
      <c r="G12">
        <v>20</v>
      </c>
      <c r="H12">
        <v>22</v>
      </c>
      <c r="I12">
        <v>1153</v>
      </c>
      <c r="J12">
        <v>806</v>
      </c>
      <c r="K12">
        <v>347</v>
      </c>
      <c r="L12">
        <v>69.900000000000006</v>
      </c>
      <c r="M12">
        <v>46</v>
      </c>
      <c r="N12">
        <v>34</v>
      </c>
      <c r="O12">
        <v>12</v>
      </c>
      <c r="P12">
        <v>73.900000000000006</v>
      </c>
      <c r="Q12">
        <v>1199</v>
      </c>
      <c r="R12">
        <v>840</v>
      </c>
      <c r="S12">
        <v>359</v>
      </c>
      <c r="T12">
        <v>70.099999999999994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2"/>
  <sheetViews>
    <sheetView workbookViewId="0">
      <selection activeCell="B12" sqref="B12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85.22</v>
      </c>
      <c r="C3">
        <v>85.22</v>
      </c>
      <c r="D3">
        <v>0</v>
      </c>
      <c r="E3">
        <v>0</v>
      </c>
      <c r="F3">
        <v>0</v>
      </c>
      <c r="G3">
        <v>0</v>
      </c>
      <c r="H3">
        <v>6</v>
      </c>
      <c r="I3">
        <v>57</v>
      </c>
      <c r="J3">
        <v>42</v>
      </c>
      <c r="K3">
        <v>15</v>
      </c>
      <c r="L3">
        <v>73.7</v>
      </c>
      <c r="M3">
        <v>0</v>
      </c>
      <c r="N3">
        <v>0</v>
      </c>
      <c r="O3">
        <v>0</v>
      </c>
      <c r="P3">
        <v>0</v>
      </c>
      <c r="Q3">
        <v>57</v>
      </c>
      <c r="R3">
        <v>42</v>
      </c>
      <c r="S3">
        <v>15</v>
      </c>
      <c r="T3">
        <v>73.7</v>
      </c>
    </row>
    <row r="4" spans="1:20" x14ac:dyDescent="0.3">
      <c r="A4" t="s">
        <v>22</v>
      </c>
      <c r="B4">
        <v>129.41999999999999</v>
      </c>
      <c r="C4">
        <v>44.2</v>
      </c>
      <c r="D4">
        <v>0</v>
      </c>
      <c r="E4">
        <v>0</v>
      </c>
      <c r="F4">
        <v>0</v>
      </c>
      <c r="G4">
        <v>0</v>
      </c>
      <c r="H4">
        <v>0</v>
      </c>
      <c r="I4">
        <v>30</v>
      </c>
      <c r="J4">
        <v>27</v>
      </c>
      <c r="K4">
        <v>3</v>
      </c>
      <c r="L4">
        <v>90</v>
      </c>
      <c r="M4">
        <v>0</v>
      </c>
      <c r="N4">
        <v>0</v>
      </c>
      <c r="O4">
        <v>0</v>
      </c>
      <c r="P4">
        <v>0</v>
      </c>
      <c r="Q4">
        <v>30</v>
      </c>
      <c r="R4">
        <v>27</v>
      </c>
      <c r="S4">
        <v>3</v>
      </c>
      <c r="T4">
        <v>90</v>
      </c>
    </row>
    <row r="5" spans="1:20" x14ac:dyDescent="0.3">
      <c r="A5" t="s">
        <v>23</v>
      </c>
      <c r="B5">
        <v>225.88</v>
      </c>
      <c r="C5">
        <v>96.46</v>
      </c>
      <c r="D5">
        <v>2</v>
      </c>
      <c r="E5">
        <v>2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268.39999999999998</v>
      </c>
      <c r="C6">
        <v>42.52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981.02</v>
      </c>
      <c r="C7">
        <v>712.62</v>
      </c>
      <c r="D7">
        <v>4</v>
      </c>
      <c r="E7">
        <v>6</v>
      </c>
      <c r="F7">
        <v>4</v>
      </c>
      <c r="G7">
        <v>0</v>
      </c>
      <c r="H7">
        <v>29</v>
      </c>
      <c r="I7">
        <v>758</v>
      </c>
      <c r="J7">
        <v>565</v>
      </c>
      <c r="K7">
        <v>193</v>
      </c>
      <c r="L7">
        <v>74.5</v>
      </c>
      <c r="M7">
        <v>69</v>
      </c>
      <c r="N7">
        <v>5</v>
      </c>
      <c r="O7">
        <v>64</v>
      </c>
      <c r="P7">
        <v>7.2</v>
      </c>
      <c r="Q7">
        <v>827</v>
      </c>
      <c r="R7">
        <v>570</v>
      </c>
      <c r="S7">
        <v>257</v>
      </c>
      <c r="T7">
        <v>68.900000000000006</v>
      </c>
    </row>
    <row r="8" spans="1:20" x14ac:dyDescent="0.3">
      <c r="A8" t="s">
        <v>26</v>
      </c>
      <c r="B8">
        <v>991.02</v>
      </c>
      <c r="C8">
        <v>10</v>
      </c>
      <c r="D8">
        <v>0</v>
      </c>
      <c r="E8">
        <v>6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5</v>
      </c>
      <c r="N8">
        <v>5</v>
      </c>
      <c r="O8">
        <v>0</v>
      </c>
      <c r="P8">
        <v>100</v>
      </c>
      <c r="Q8">
        <v>5</v>
      </c>
      <c r="R8">
        <v>5</v>
      </c>
      <c r="S8">
        <v>0</v>
      </c>
      <c r="T8">
        <v>100</v>
      </c>
    </row>
    <row r="9" spans="1:20" x14ac:dyDescent="0.3">
      <c r="A9" t="s">
        <v>27</v>
      </c>
      <c r="B9">
        <v>1018.32</v>
      </c>
      <c r="C9">
        <v>27.3</v>
      </c>
      <c r="D9">
        <v>0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1034.82</v>
      </c>
      <c r="C10">
        <v>16.5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1041.1199999999999</v>
      </c>
      <c r="C11">
        <v>6.3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1075.56</v>
      </c>
      <c r="C12">
        <v>34.44</v>
      </c>
      <c r="D12">
        <v>0</v>
      </c>
      <c r="E12">
        <v>6</v>
      </c>
      <c r="F12">
        <v>0</v>
      </c>
      <c r="G12">
        <v>0</v>
      </c>
      <c r="H12">
        <v>2</v>
      </c>
      <c r="I12">
        <v>51</v>
      </c>
      <c r="J12">
        <v>44</v>
      </c>
      <c r="K12">
        <v>7</v>
      </c>
      <c r="L12">
        <v>86.3</v>
      </c>
      <c r="M12">
        <v>14</v>
      </c>
      <c r="N12">
        <v>8</v>
      </c>
      <c r="O12">
        <v>6</v>
      </c>
      <c r="P12">
        <v>57.1</v>
      </c>
      <c r="Q12">
        <v>65</v>
      </c>
      <c r="R12">
        <v>52</v>
      </c>
      <c r="S12">
        <v>13</v>
      </c>
      <c r="T12">
        <v>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BD15-4B3E-4C21-A8F1-DFF0D5AACCB2}">
  <dimension ref="A1:T20"/>
  <sheetViews>
    <sheetView tabSelected="1" topLeftCell="A4" workbookViewId="0">
      <selection activeCell="G19" sqref="G19"/>
    </sheetView>
  </sheetViews>
  <sheetFormatPr defaultRowHeight="14.4" x14ac:dyDescent="0.3"/>
  <sheetData>
    <row r="1" spans="1:20" x14ac:dyDescent="0.3">
      <c r="A1" s="3" t="s">
        <v>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4" t="s">
        <v>33</v>
      </c>
      <c r="B2">
        <f>AVERAGE(AlexVargas!B:B)</f>
        <v>987.49454545454535</v>
      </c>
      <c r="C2">
        <f>AVERAGE(AlexVargas!C:C)</f>
        <v>170.32909090909089</v>
      </c>
      <c r="D2">
        <f>AVERAGE(AlexVargas!D:D)</f>
        <v>2.6363636363636362</v>
      </c>
      <c r="E2">
        <f>AVERAGE(AlexVargas!E:E)</f>
        <v>11.727272727272727</v>
      </c>
      <c r="F2">
        <f>AVERAGE(AlexVargas!F:F)</f>
        <v>0.18181818181818182</v>
      </c>
      <c r="G2">
        <f>AVERAGE(AlexVargas!G:G)</f>
        <v>2.4545454545454546</v>
      </c>
      <c r="H2">
        <f>AVERAGE(AlexVargas!H:H)</f>
        <v>4.1818181818181817</v>
      </c>
      <c r="I2">
        <f>AVERAGE(AlexVargas!I:I)</f>
        <v>237.81818181818181</v>
      </c>
      <c r="J2">
        <f>AVERAGE(AlexVargas!J:J)</f>
        <v>92.545454545454547</v>
      </c>
      <c r="K2">
        <f>AVERAGE(AlexVargas!K:K)</f>
        <v>145.27272727272728</v>
      </c>
      <c r="L2">
        <f>AVERAGE(AlexVargas!L:L)</f>
        <v>23.581818181818178</v>
      </c>
      <c r="M2">
        <f>AVERAGE(AlexVargas!M:M)</f>
        <v>6.0909090909090908</v>
      </c>
      <c r="N2">
        <f>AVERAGE(AlexVargas!N:N)</f>
        <v>2.3636363636363638</v>
      </c>
      <c r="O2">
        <f>AVERAGE(AlexVargas!O:O)</f>
        <v>3.7272727272727271</v>
      </c>
      <c r="P2">
        <f>AVERAGE(AlexVargas!P:P)</f>
        <v>12.063636363636363</v>
      </c>
      <c r="Q2">
        <f>AVERAGE(AlexVargas!Q:Q)</f>
        <v>243.90909090909091</v>
      </c>
      <c r="R2">
        <f>AVERAGE(AlexVargas!R:R)</f>
        <v>94.909090909090907</v>
      </c>
      <c r="S2">
        <f>AVERAGE(AlexVargas!S:S)</f>
        <v>149</v>
      </c>
      <c r="T2">
        <f>AVERAGE(AlexVargas!T:T)</f>
        <v>23.227272727272727</v>
      </c>
    </row>
    <row r="3" spans="1:20" x14ac:dyDescent="0.3">
      <c r="A3" s="4" t="s">
        <v>34</v>
      </c>
      <c r="B3">
        <f>AVERAGE(AntoFlores!B:B)</f>
        <v>311.52272727272725</v>
      </c>
      <c r="C3">
        <f>AVERAGE(AntoFlores!C:C)</f>
        <v>208.66454545454545</v>
      </c>
      <c r="D3">
        <f>AVERAGE(AntoFlores!D:D)</f>
        <v>3.0909090909090908</v>
      </c>
      <c r="E3">
        <f>AVERAGE(AntoFlores!E:E)</f>
        <v>4.6363636363636367</v>
      </c>
      <c r="F3">
        <f>AVERAGE(AntoFlores!F:F)</f>
        <v>0.54545454545454541</v>
      </c>
      <c r="G3">
        <f>AVERAGE(AntoFlores!G:G)</f>
        <v>2.5454545454545454</v>
      </c>
      <c r="H3">
        <f>AVERAGE(AntoFlores!H:H)</f>
        <v>3.1818181818181817</v>
      </c>
      <c r="I3">
        <f>AVERAGE(AntoFlores!I:I)</f>
        <v>202.72727272727272</v>
      </c>
      <c r="J3">
        <f>AVERAGE(AntoFlores!J:J)</f>
        <v>114.09090909090909</v>
      </c>
      <c r="K3">
        <f>AVERAGE(AntoFlores!K:K)</f>
        <v>88.63636363636364</v>
      </c>
      <c r="L3">
        <f>AVERAGE(AntoFlores!L:L)</f>
        <v>30</v>
      </c>
      <c r="M3">
        <f>AVERAGE(AntoFlores!M:M)</f>
        <v>2</v>
      </c>
      <c r="N3">
        <f>AVERAGE(AntoFlores!N:N)</f>
        <v>0</v>
      </c>
      <c r="O3">
        <f>AVERAGE(AntoFlores!O:O)</f>
        <v>2</v>
      </c>
      <c r="P3">
        <f>AVERAGE(AntoFlores!P:P)</f>
        <v>0</v>
      </c>
      <c r="Q3">
        <f>AVERAGE(AntoFlores!Q:Q)</f>
        <v>204.72727272727272</v>
      </c>
      <c r="R3">
        <f>AVERAGE(AntoFlores!R:R)</f>
        <v>114.09090909090909</v>
      </c>
      <c r="S3">
        <f>AVERAGE(AntoFlores!S:S)</f>
        <v>90.63636363636364</v>
      </c>
      <c r="T3">
        <f>AVERAGE(AntoFlores!T:T)</f>
        <v>29.927272727272733</v>
      </c>
    </row>
    <row r="4" spans="1:20" x14ac:dyDescent="0.3">
      <c r="A4" s="4" t="s">
        <v>35</v>
      </c>
      <c r="B4">
        <f>AVERAGE(BenjaCarrasco!B:B)</f>
        <v>438.29909090909092</v>
      </c>
      <c r="C4">
        <f>AVERAGE(BenjaCarrasco!C:C)</f>
        <v>101.96636363636365</v>
      </c>
      <c r="D4">
        <f>AVERAGE(BenjaCarrasco!D:D)</f>
        <v>1</v>
      </c>
      <c r="E4">
        <f>AVERAGE(BenjaCarrasco!E:E)</f>
        <v>2.6363636363636362</v>
      </c>
      <c r="F4">
        <f>AVERAGE(BenjaCarrasco!F:F)</f>
        <v>9.0909090909090912E-2</v>
      </c>
      <c r="G4">
        <f>AVERAGE(BenjaCarrasco!G:G)</f>
        <v>0.90909090909090906</v>
      </c>
      <c r="H4">
        <f>AVERAGE(BenjaCarrasco!H:H)</f>
        <v>3.7272727272727271</v>
      </c>
      <c r="I4">
        <f>AVERAGE(BenjaCarrasco!I:I)</f>
        <v>122.45454545454545</v>
      </c>
      <c r="J4">
        <f>AVERAGE(BenjaCarrasco!J:J)</f>
        <v>58.272727272727273</v>
      </c>
      <c r="K4">
        <f>AVERAGE(BenjaCarrasco!K:K)</f>
        <v>64.181818181818187</v>
      </c>
      <c r="L4">
        <f>AVERAGE(BenjaCarrasco!L:L)</f>
        <v>18.818181818181817</v>
      </c>
      <c r="M4">
        <f>AVERAGE(BenjaCarrasco!M:M)</f>
        <v>9.0909090909090917</v>
      </c>
      <c r="N4">
        <f>AVERAGE(BenjaCarrasco!N:N)</f>
        <v>2.1818181818181817</v>
      </c>
      <c r="O4">
        <f>AVERAGE(BenjaCarrasco!O:O)</f>
        <v>6.9090909090909092</v>
      </c>
      <c r="P4">
        <f>AVERAGE(BenjaCarrasco!P:P)</f>
        <v>12.445454545454545</v>
      </c>
      <c r="Q4">
        <f>AVERAGE(BenjaCarrasco!Q:Q)</f>
        <v>131.54545454545453</v>
      </c>
      <c r="R4">
        <f>AVERAGE(BenjaCarrasco!R:R)</f>
        <v>60.454545454545453</v>
      </c>
      <c r="S4">
        <f>AVERAGE(BenjaCarrasco!S:S)</f>
        <v>71.090909090909093</v>
      </c>
      <c r="T4">
        <f>AVERAGE(BenjaCarrasco!T:T)</f>
        <v>20.936363636363634</v>
      </c>
    </row>
    <row r="5" spans="1:20" x14ac:dyDescent="0.3">
      <c r="A5" s="4" t="s">
        <v>36</v>
      </c>
      <c r="B5">
        <f>AVERAGE(CamilaCarrascoBaier!B:B)</f>
        <v>204.86888888888885</v>
      </c>
      <c r="C5">
        <f>AVERAGE(CamilaCarrascoBaier!C:C)</f>
        <v>84.951111111111103</v>
      </c>
      <c r="D5">
        <f>AVERAGE(CamilaCarrascoBaier!D:D)</f>
        <v>2</v>
      </c>
      <c r="E5">
        <f>AVERAGE(CamilaCarrascoBaier!E:E)</f>
        <v>4.1111111111111107</v>
      </c>
      <c r="F5">
        <f>AVERAGE(CamilaCarrascoBaier!F:F)</f>
        <v>0.44444444444444442</v>
      </c>
      <c r="G5">
        <f>AVERAGE(CamilaCarrascoBaier!G:G)</f>
        <v>1.5555555555555556</v>
      </c>
      <c r="H5">
        <f>AVERAGE(CamilaCarrascoBaier!H:H)</f>
        <v>2</v>
      </c>
      <c r="I5">
        <f>AVERAGE(CamilaCarrascoBaier!I:I)</f>
        <v>34.444444444444443</v>
      </c>
      <c r="J5">
        <f>AVERAGE(CamilaCarrascoBaier!J:J)</f>
        <v>16.888888888888889</v>
      </c>
      <c r="K5">
        <f>AVERAGE(CamilaCarrascoBaier!K:K)</f>
        <v>17.555555555555557</v>
      </c>
      <c r="L5">
        <f>AVERAGE(CamilaCarrascoBaier!L:L)</f>
        <v>33</v>
      </c>
      <c r="M5">
        <f>AVERAGE(CamilaCarrascoBaier!M:M)</f>
        <v>0</v>
      </c>
      <c r="N5">
        <f>AVERAGE(CamilaCarrascoBaier!N:N)</f>
        <v>0</v>
      </c>
      <c r="O5">
        <f>AVERAGE(CamilaCarrascoBaier!O:O)</f>
        <v>0</v>
      </c>
      <c r="P5">
        <f>AVERAGE(CamilaCarrascoBaier!P:P)</f>
        <v>0</v>
      </c>
      <c r="Q5">
        <f>AVERAGE(CamilaCarrascoBaier!Q:Q)</f>
        <v>34.444444444444443</v>
      </c>
      <c r="R5">
        <f>AVERAGE(CamilaCarrascoBaier!R:R)</f>
        <v>16.888888888888889</v>
      </c>
      <c r="S5">
        <f>AVERAGE(CamilaCarrascoBaier!S:S)</f>
        <v>17.555555555555557</v>
      </c>
      <c r="T5">
        <f>AVERAGE(CamilaCarrascoBaier!T:T)</f>
        <v>33</v>
      </c>
    </row>
    <row r="6" spans="1:20" x14ac:dyDescent="0.3">
      <c r="A6" s="4" t="s">
        <v>37</v>
      </c>
      <c r="B6">
        <f>AVERAGE(CataAguilar!B:B)</f>
        <v>2969.2827272727272</v>
      </c>
      <c r="C6">
        <f>AVERAGE(CataAguilar!C:C)</f>
        <v>524.63181818181829</v>
      </c>
      <c r="D6">
        <f>AVERAGE(CataAguilar!D:D)</f>
        <v>9.6363636363636367</v>
      </c>
      <c r="E6">
        <f>AVERAGE(CataAguilar!E:E)</f>
        <v>45.636363636363633</v>
      </c>
      <c r="F6">
        <f>AVERAGE(CataAguilar!F:F)</f>
        <v>1.2727272727272727</v>
      </c>
      <c r="G6">
        <f>AVERAGE(CataAguilar!G:G)</f>
        <v>8.3636363636363633</v>
      </c>
      <c r="H6">
        <f>AVERAGE(CataAguilar!H:H)</f>
        <v>5.2727272727272725</v>
      </c>
      <c r="I6">
        <f>AVERAGE(CataAguilar!I:I)</f>
        <v>469.27272727272725</v>
      </c>
      <c r="J6">
        <f>AVERAGE(CataAguilar!J:J)</f>
        <v>118</v>
      </c>
      <c r="K6">
        <f>AVERAGE(CataAguilar!K:K)</f>
        <v>351.27272727272725</v>
      </c>
      <c r="L6">
        <f>AVERAGE(CataAguilar!L:L)</f>
        <v>20.690909090909091</v>
      </c>
      <c r="M6">
        <f>AVERAGE(CataAguilar!M:M)</f>
        <v>0.63636363636363635</v>
      </c>
      <c r="N6">
        <f>AVERAGE(CataAguilar!N:N)</f>
        <v>0</v>
      </c>
      <c r="O6">
        <f>AVERAGE(CataAguilar!O:O)</f>
        <v>0.63636363636363635</v>
      </c>
      <c r="P6">
        <f>AVERAGE(CataAguilar!P:P)</f>
        <v>0</v>
      </c>
      <c r="Q6">
        <f>AVERAGE(CataAguilar!Q:Q)</f>
        <v>469.90909090909093</v>
      </c>
      <c r="R6">
        <f>AVERAGE(CataAguilar!R:R)</f>
        <v>118</v>
      </c>
      <c r="S6">
        <f>AVERAGE(CataAguilar!S:S)</f>
        <v>351.90909090909093</v>
      </c>
      <c r="T6">
        <f>AVERAGE(CataAguilar!T:T)</f>
        <v>20.690909090909091</v>
      </c>
    </row>
    <row r="7" spans="1:20" x14ac:dyDescent="0.3">
      <c r="A7" s="4" t="s">
        <v>38</v>
      </c>
      <c r="B7">
        <f>AVERAGE(DiegoContreras!B:B)</f>
        <v>1483.4536363636364</v>
      </c>
      <c r="C7">
        <f>AVERAGE(DiegoContreras!C:C)</f>
        <v>247.24090909090907</v>
      </c>
      <c r="D7">
        <f>AVERAGE(DiegoContreras!D:D)</f>
        <v>2.8181818181818183</v>
      </c>
      <c r="E7">
        <f>AVERAGE(DiegoContreras!E:E)</f>
        <v>14.545454545454545</v>
      </c>
      <c r="F7">
        <f>AVERAGE(DiegoContreras!F:F)</f>
        <v>1.0909090909090908</v>
      </c>
      <c r="G7">
        <f>AVERAGE(DiegoContreras!G:G)</f>
        <v>1.7272727272727273</v>
      </c>
      <c r="H7">
        <f>AVERAGE(DiegoContreras!H:H)</f>
        <v>3.9090909090909092</v>
      </c>
      <c r="I7">
        <f>AVERAGE(DiegoContreras!I:I)</f>
        <v>325.72727272727275</v>
      </c>
      <c r="J7">
        <f>AVERAGE(DiegoContreras!J:J)</f>
        <v>83.63636363636364</v>
      </c>
      <c r="K7">
        <f>AVERAGE(DiegoContreras!K:K)</f>
        <v>242.09090909090909</v>
      </c>
      <c r="L7">
        <f>AVERAGE(DiegoContreras!L:L)</f>
        <v>18.736363636363638</v>
      </c>
      <c r="M7">
        <f>AVERAGE(DiegoContreras!M:M)</f>
        <v>8.9090909090909083</v>
      </c>
      <c r="N7">
        <f>AVERAGE(DiegoContreras!N:N)</f>
        <v>1.6363636363636365</v>
      </c>
      <c r="O7">
        <f>AVERAGE(DiegoContreras!O:O)</f>
        <v>7.2727272727272725</v>
      </c>
      <c r="P7">
        <f>AVERAGE(DiegoContreras!P:P)</f>
        <v>12.3</v>
      </c>
      <c r="Q7">
        <f>AVERAGE(DiegoContreras!Q:Q)</f>
        <v>334.63636363636363</v>
      </c>
      <c r="R7">
        <f>AVERAGE(DiegoContreras!R:R)</f>
        <v>85.272727272727266</v>
      </c>
      <c r="S7">
        <f>AVERAGE(DiegoContreras!S:S)</f>
        <v>249.36363636363637</v>
      </c>
      <c r="T7">
        <f>AVERAGE(DiegoContreras!T:T)</f>
        <v>24.1</v>
      </c>
    </row>
    <row r="8" spans="1:20" x14ac:dyDescent="0.3">
      <c r="A8" s="4" t="s">
        <v>39</v>
      </c>
      <c r="B8">
        <f>AVERAGE(FranPerez!B:B)</f>
        <v>778.14090909090919</v>
      </c>
      <c r="C8">
        <f>AVERAGE(FranPerez!C:C)</f>
        <v>120.38818181818183</v>
      </c>
      <c r="D8">
        <f>AVERAGE(FranPerez!D:D)</f>
        <v>1.2727272727272727</v>
      </c>
      <c r="E8">
        <f>AVERAGE(FranPerez!E:E)</f>
        <v>8.1818181818181817</v>
      </c>
      <c r="F8">
        <f>AVERAGE(FranPerez!F:F)</f>
        <v>0</v>
      </c>
      <c r="G8">
        <f>AVERAGE(FranPerez!G:G)</f>
        <v>1.2727272727272727</v>
      </c>
      <c r="H8">
        <f>AVERAGE(FranPerez!H:H)</f>
        <v>3.3636363636363638</v>
      </c>
      <c r="I8">
        <f>AVERAGE(FranPerez!I:I)</f>
        <v>133.54545454545453</v>
      </c>
      <c r="J8">
        <f>AVERAGE(FranPerez!J:J)</f>
        <v>66.545454545454547</v>
      </c>
      <c r="K8">
        <f>AVERAGE(FranPerez!K:K)</f>
        <v>67</v>
      </c>
      <c r="L8">
        <f>AVERAGE(FranPerez!L:L)</f>
        <v>26.945454545454542</v>
      </c>
      <c r="M8">
        <f>AVERAGE(FranPerez!M:M)</f>
        <v>2.6363636363636362</v>
      </c>
      <c r="N8">
        <f>AVERAGE(FranPerez!N:N)</f>
        <v>0.63636363636363635</v>
      </c>
      <c r="O8">
        <f>AVERAGE(FranPerez!O:O)</f>
        <v>2</v>
      </c>
      <c r="P8">
        <f>AVERAGE(FranPerez!P:P)</f>
        <v>12.009090909090908</v>
      </c>
      <c r="Q8">
        <f>AVERAGE(FranPerez!Q:Q)</f>
        <v>136.18181818181819</v>
      </c>
      <c r="R8">
        <f>AVERAGE(FranPerez!R:R)</f>
        <v>67.181818181818187</v>
      </c>
      <c r="S8">
        <f>AVERAGE(FranPerez!S:S)</f>
        <v>69</v>
      </c>
      <c r="T8">
        <f>AVERAGE(FranPerez!T:T)</f>
        <v>26.918181818181822</v>
      </c>
    </row>
    <row r="9" spans="1:20" x14ac:dyDescent="0.3">
      <c r="A9" s="4" t="s">
        <v>40</v>
      </c>
      <c r="B9">
        <f>AVERAGE(JoaquinAguilar!B:B)</f>
        <v>1006.3363636363636</v>
      </c>
      <c r="C9">
        <f>AVERAGE(JoaquinAguilar!C:C)</f>
        <v>151.0090909090909</v>
      </c>
      <c r="D9">
        <f>AVERAGE(JoaquinAguilar!D:D)</f>
        <v>1.6363636363636365</v>
      </c>
      <c r="E9">
        <f>AVERAGE(JoaquinAguilar!E:E)</f>
        <v>11.909090909090908</v>
      </c>
      <c r="F9">
        <f>AVERAGE(JoaquinAguilar!F:F)</f>
        <v>0.72727272727272729</v>
      </c>
      <c r="G9">
        <f>AVERAGE(JoaquinAguilar!G:G)</f>
        <v>0.90909090909090906</v>
      </c>
      <c r="H9">
        <f>AVERAGE(JoaquinAguilar!H:H)</f>
        <v>4.1818181818181817</v>
      </c>
      <c r="I9">
        <f>AVERAGE(JoaquinAguilar!I:I)</f>
        <v>237.18181818181819</v>
      </c>
      <c r="J9">
        <f>AVERAGE(JoaquinAguilar!J:J)</f>
        <v>85.727272727272734</v>
      </c>
      <c r="K9">
        <f>AVERAGE(JoaquinAguilar!K:K)</f>
        <v>151.45454545454547</v>
      </c>
      <c r="L9">
        <f>AVERAGE(JoaquinAguilar!L:L)</f>
        <v>23.818181818181817</v>
      </c>
      <c r="M9">
        <f>AVERAGE(JoaquinAguilar!M:M)</f>
        <v>0.45454545454545453</v>
      </c>
      <c r="N9">
        <f>AVERAGE(JoaquinAguilar!N:N)</f>
        <v>0</v>
      </c>
      <c r="O9">
        <f>AVERAGE(JoaquinAguilar!O:O)</f>
        <v>0.45454545454545453</v>
      </c>
      <c r="P9">
        <f>AVERAGE(JoaquinAguilar!P:P)</f>
        <v>0</v>
      </c>
      <c r="Q9">
        <f>AVERAGE(JoaquinAguilar!Q:Q)</f>
        <v>237.63636363636363</v>
      </c>
      <c r="R9">
        <f>AVERAGE(JoaquinAguilar!R:R)</f>
        <v>85.727272727272734</v>
      </c>
      <c r="S9">
        <f>AVERAGE(JoaquinAguilar!S:S)</f>
        <v>151.90909090909091</v>
      </c>
      <c r="T9">
        <f>AVERAGE(JoaquinAguilar!T:T)</f>
        <v>23.6</v>
      </c>
    </row>
    <row r="10" spans="1:20" x14ac:dyDescent="0.3">
      <c r="A10" s="4" t="s">
        <v>41</v>
      </c>
      <c r="B10">
        <f>AVERAGE(LourdesArtigas!B:B)</f>
        <v>242.44181818181815</v>
      </c>
      <c r="C10">
        <f>AVERAGE(LourdesArtigas!C:C)</f>
        <v>101.02545454545454</v>
      </c>
      <c r="D10">
        <f>AVERAGE(LourdesArtigas!D:D)</f>
        <v>2.5454545454545454</v>
      </c>
      <c r="E10">
        <f>AVERAGE(LourdesArtigas!E:E)</f>
        <v>5.2727272727272725</v>
      </c>
      <c r="F10">
        <f>AVERAGE(LourdesArtigas!F:F)</f>
        <v>0.18181818181818182</v>
      </c>
      <c r="G10">
        <f>AVERAGE(LourdesArtigas!G:G)</f>
        <v>2.3636363636363638</v>
      </c>
      <c r="H10">
        <f>AVERAGE(LourdesArtigas!H:H)</f>
        <v>1.9090909090909092</v>
      </c>
      <c r="I10">
        <f>AVERAGE(LourdesArtigas!I:I)</f>
        <v>23.636363636363637</v>
      </c>
      <c r="J10">
        <f>AVERAGE(LourdesArtigas!J:J)</f>
        <v>12.090909090909092</v>
      </c>
      <c r="K10">
        <f>AVERAGE(LourdesArtigas!K:K)</f>
        <v>11.545454545454545</v>
      </c>
      <c r="L10">
        <f>AVERAGE(LourdesArtigas!L:L)</f>
        <v>19.454545454545453</v>
      </c>
      <c r="M10">
        <f>AVERAGE(LourdesArtigas!M:M)</f>
        <v>2.9090909090909092</v>
      </c>
      <c r="N10">
        <f>AVERAGE(LourdesArtigas!N:N)</f>
        <v>1.1818181818181819</v>
      </c>
      <c r="O10">
        <f>AVERAGE(LourdesArtigas!O:O)</f>
        <v>1.7272727272727273</v>
      </c>
      <c r="P10">
        <f>AVERAGE(LourdesArtigas!P:P)</f>
        <v>6.7909090909090901</v>
      </c>
      <c r="Q10">
        <f>AVERAGE(LourdesArtigas!Q:Q)</f>
        <v>26.545454545454547</v>
      </c>
      <c r="R10">
        <f>AVERAGE(LourdesArtigas!R:R)</f>
        <v>13.272727272727273</v>
      </c>
      <c r="S10">
        <f>AVERAGE(LourdesArtigas!S:S)</f>
        <v>13.272727272727273</v>
      </c>
      <c r="T10">
        <f>AVERAGE(LourdesArtigas!T:T)</f>
        <v>18.281818181818185</v>
      </c>
    </row>
    <row r="11" spans="1:20" x14ac:dyDescent="0.3">
      <c r="A11" s="4" t="s">
        <v>42</v>
      </c>
      <c r="B11">
        <f>AVERAGE(Pantrucas!B:B)</f>
        <v>640.4</v>
      </c>
      <c r="C11">
        <f>AVERAGE(Pantrucas!C:C)</f>
        <v>100.94545454545455</v>
      </c>
      <c r="D11">
        <f>AVERAGE(Pantrucas!D:D)</f>
        <v>1.2727272727272727</v>
      </c>
      <c r="E11">
        <f>AVERAGE(Pantrucas!E:E)</f>
        <v>8.6363636363636367</v>
      </c>
      <c r="F11">
        <f>AVERAGE(Pantrucas!F:F)</f>
        <v>0.18181818181818182</v>
      </c>
      <c r="G11">
        <f>AVERAGE(Pantrucas!G:G)</f>
        <v>1.0909090909090908</v>
      </c>
      <c r="H11">
        <f>AVERAGE(Pantrucas!H:H)</f>
        <v>3.4545454545454546</v>
      </c>
      <c r="I11">
        <f>AVERAGE(Pantrucas!I:I)</f>
        <v>120.09090909090909</v>
      </c>
      <c r="J11">
        <f>AVERAGE(Pantrucas!J:J)</f>
        <v>54.18181818181818</v>
      </c>
      <c r="K11">
        <f>AVERAGE(Pantrucas!K:K)</f>
        <v>65.909090909090907</v>
      </c>
      <c r="L11">
        <f>AVERAGE(Pantrucas!L:L)</f>
        <v>23.099999999999998</v>
      </c>
      <c r="M11">
        <f>AVERAGE(Pantrucas!M:M)</f>
        <v>10.363636363636363</v>
      </c>
      <c r="N11">
        <f>AVERAGE(Pantrucas!N:N)</f>
        <v>1.8181818181818181</v>
      </c>
      <c r="O11">
        <f>AVERAGE(Pantrucas!O:O)</f>
        <v>8.545454545454545</v>
      </c>
      <c r="P11">
        <f>AVERAGE(Pantrucas!P:P)</f>
        <v>1.6545454545454545</v>
      </c>
      <c r="Q11">
        <f>AVERAGE(Pantrucas!Q:Q)</f>
        <v>130.45454545454547</v>
      </c>
      <c r="R11">
        <f>AVERAGE(Pantrucas!R:R)</f>
        <v>56</v>
      </c>
      <c r="S11">
        <f>AVERAGE(Pantrucas!S:S)</f>
        <v>74.454545454545453</v>
      </c>
      <c r="T11">
        <f>AVERAGE(Pantrucas!T:T)</f>
        <v>22.263636363636365</v>
      </c>
    </row>
    <row r="12" spans="1:20" x14ac:dyDescent="0.3">
      <c r="A12" s="4" t="s">
        <v>43</v>
      </c>
      <c r="B12">
        <f>AVERAGE(Sepumae!B:B)</f>
        <v>604.42454545454541</v>
      </c>
      <c r="C12">
        <f>AVERAGE(Sepumae!C:C)</f>
        <v>100.42454545454547</v>
      </c>
      <c r="D12">
        <f>AVERAGE(Sepumae!D:D)</f>
        <v>0.81818181818181823</v>
      </c>
      <c r="E12">
        <f>AVERAGE(Sepumae!E:E)</f>
        <v>4.7272727272727275</v>
      </c>
      <c r="F12">
        <f>AVERAGE(Sepumae!F:F)</f>
        <v>0.45454545454545453</v>
      </c>
      <c r="G12">
        <f>AVERAGE(Sepumae!G:G)</f>
        <v>0.36363636363636365</v>
      </c>
      <c r="H12">
        <f>AVERAGE(Sepumae!H:H)</f>
        <v>4.0909090909090908</v>
      </c>
      <c r="I12">
        <f>AVERAGE(Sepumae!I:I)</f>
        <v>160.27272727272728</v>
      </c>
      <c r="J12">
        <f>AVERAGE(Sepumae!J:J)</f>
        <v>72.63636363636364</v>
      </c>
      <c r="K12">
        <f>AVERAGE(Sepumae!K:K)</f>
        <v>87.63636363636364</v>
      </c>
      <c r="L12">
        <f>AVERAGE(Sepumae!L:L)</f>
        <v>28.218181818181815</v>
      </c>
      <c r="M12">
        <f>AVERAGE(Sepumae!M:M)</f>
        <v>6.8181818181818183</v>
      </c>
      <c r="N12">
        <f>AVERAGE(Sepumae!N:N)</f>
        <v>2.2727272727272729</v>
      </c>
      <c r="O12">
        <f>AVERAGE(Sepumae!O:O)</f>
        <v>4.5454545454545459</v>
      </c>
      <c r="P12">
        <f>AVERAGE(Sepumae!P:P)</f>
        <v>11.590909090909092</v>
      </c>
      <c r="Q12">
        <f>AVERAGE(Sepumae!Q:Q)</f>
        <v>167.09090909090909</v>
      </c>
      <c r="R12">
        <f>AVERAGE(Sepumae!R:R)</f>
        <v>74.909090909090907</v>
      </c>
      <c r="S12">
        <f>AVERAGE(Sepumae!S:S)</f>
        <v>92.181818181818187</v>
      </c>
      <c r="T12">
        <f>AVERAGE(Sepumae!T:T)</f>
        <v>28.25454545454545</v>
      </c>
    </row>
    <row r="13" spans="1:20" x14ac:dyDescent="0.3">
      <c r="A13" s="4" t="s">
        <v>44</v>
      </c>
      <c r="B13">
        <f>AVERAGE(VicenteFigueroa!B:B)</f>
        <v>527.22818181818184</v>
      </c>
      <c r="C13">
        <f>AVERAGE(VicenteFigueroa!C:C)</f>
        <v>90.934545454545457</v>
      </c>
      <c r="D13">
        <f>AVERAGE(VicenteFigueroa!D:D)</f>
        <v>1.0909090909090908</v>
      </c>
      <c r="E13">
        <f>AVERAGE(VicenteFigueroa!E:E)</f>
        <v>4.5454545454545459</v>
      </c>
      <c r="F13">
        <f>AVERAGE(VicenteFigueroa!F:F)</f>
        <v>9.0909090909090912E-2</v>
      </c>
      <c r="G13">
        <f>AVERAGE(VicenteFigueroa!G:G)</f>
        <v>1</v>
      </c>
      <c r="H13">
        <f>AVERAGE(VicenteFigueroa!H:H)</f>
        <v>4.0909090909090908</v>
      </c>
      <c r="I13">
        <f>AVERAGE(VicenteFigueroa!I:I)</f>
        <v>118.36363636363636</v>
      </c>
      <c r="J13">
        <f>AVERAGE(VicenteFigueroa!J:J)</f>
        <v>63</v>
      </c>
      <c r="K13">
        <f>AVERAGE(VicenteFigueroa!K:K)</f>
        <v>55.363636363636367</v>
      </c>
      <c r="L13">
        <f>AVERAGE(VicenteFigueroa!L:L)</f>
        <v>26.981818181818184</v>
      </c>
      <c r="M13">
        <f>AVERAGE(VicenteFigueroa!M:M)</f>
        <v>9.0909090909090917</v>
      </c>
      <c r="N13">
        <f>AVERAGE(VicenteFigueroa!N:N)</f>
        <v>3.4545454545454546</v>
      </c>
      <c r="O13">
        <f>AVERAGE(VicenteFigueroa!O:O)</f>
        <v>5.6363636363636367</v>
      </c>
      <c r="P13">
        <f>AVERAGE(VicenteFigueroa!P:P)</f>
        <v>12.854545454545452</v>
      </c>
      <c r="Q13">
        <f>AVERAGE(VicenteFigueroa!Q:Q)</f>
        <v>127.45454545454545</v>
      </c>
      <c r="R13">
        <f>AVERAGE(VicenteFigueroa!R:R)</f>
        <v>66.454545454545453</v>
      </c>
      <c r="S13">
        <f>AVERAGE(VicenteFigueroa!S:S)</f>
        <v>61</v>
      </c>
      <c r="T13">
        <f>AVERAGE(VicenteFigueroa!T:T)</f>
        <v>26.481818181818177</v>
      </c>
    </row>
    <row r="14" spans="1:20" x14ac:dyDescent="0.3">
      <c r="A14" s="4" t="s">
        <v>45</v>
      </c>
      <c r="B14">
        <f>AVERAGE(VicenteHernandez!B:B)</f>
        <v>339.58090909090902</v>
      </c>
      <c r="C14">
        <f>AVERAGE(VicenteHernandez!C:C)</f>
        <v>194.16090909090909</v>
      </c>
      <c r="D14">
        <f>AVERAGE(VicenteHernandez!D:D)</f>
        <v>2.8181818181818183</v>
      </c>
      <c r="E14">
        <f>AVERAGE(VicenteHernandez!E:E)</f>
        <v>5.7272727272727275</v>
      </c>
      <c r="F14">
        <f>AVERAGE(VicenteHernandez!F:F)</f>
        <v>0.54545454545454541</v>
      </c>
      <c r="G14">
        <f>AVERAGE(VicenteHernandez!G:G)</f>
        <v>2.2727272727272729</v>
      </c>
      <c r="H14">
        <f>AVERAGE(VicenteHernandez!H:H)</f>
        <v>4</v>
      </c>
      <c r="I14">
        <f>AVERAGE(VicenteHernandez!I:I)</f>
        <v>217.27272727272728</v>
      </c>
      <c r="J14">
        <f>AVERAGE(VicenteHernandez!J:J)</f>
        <v>92.818181818181813</v>
      </c>
      <c r="K14">
        <f>AVERAGE(VicenteHernandez!K:K)</f>
        <v>124.45454545454545</v>
      </c>
      <c r="L14">
        <f>AVERAGE(VicenteHernandez!L:L)</f>
        <v>21.181818181818183</v>
      </c>
      <c r="M14">
        <f>AVERAGE(VicenteHernandez!M:M)</f>
        <v>4.6363636363636367</v>
      </c>
      <c r="N14">
        <f>AVERAGE(VicenteHernandez!N:N)</f>
        <v>1.4545454545454546</v>
      </c>
      <c r="O14">
        <f>AVERAGE(VicenteHernandez!O:O)</f>
        <v>3.1818181818181817</v>
      </c>
      <c r="P14">
        <f>AVERAGE(VicenteHernandez!P:P)</f>
        <v>6.4909090909090912</v>
      </c>
      <c r="Q14">
        <f>AVERAGE(VicenteHernandez!Q:Q)</f>
        <v>221.90909090909091</v>
      </c>
      <c r="R14">
        <f>AVERAGE(VicenteHernandez!R:R)</f>
        <v>94.272727272727266</v>
      </c>
      <c r="S14">
        <f>AVERAGE(VicenteHernandez!S:S)</f>
        <v>127.63636363636364</v>
      </c>
      <c r="T14">
        <f>AVERAGE(VicenteHernandez!T:T)</f>
        <v>21.081818181818182</v>
      </c>
    </row>
    <row r="15" spans="1:20" x14ac:dyDescent="0.3">
      <c r="A15" s="4" t="s">
        <v>46</v>
      </c>
      <c r="B15">
        <f>AVERAGE(VicenteLineros!B:B)</f>
        <v>1113.1845454545453</v>
      </c>
      <c r="C15">
        <f>AVERAGE(VicenteLineros!C:C)</f>
        <v>241.24454545454543</v>
      </c>
      <c r="D15">
        <f>AVERAGE(VicenteLineros!D:D)</f>
        <v>4.8181818181818183</v>
      </c>
      <c r="E15">
        <f>AVERAGE(VicenteLineros!E:E)</f>
        <v>15</v>
      </c>
      <c r="F15">
        <f>AVERAGE(VicenteLineros!F:F)</f>
        <v>0.45454545454545453</v>
      </c>
      <c r="G15">
        <f>AVERAGE(VicenteLineros!G:G)</f>
        <v>4.3636363636363633</v>
      </c>
      <c r="H15">
        <f>AVERAGE(VicenteLineros!H:H)</f>
        <v>5.0909090909090908</v>
      </c>
      <c r="I15">
        <f>AVERAGE(VicenteLineros!I:I)</f>
        <v>176.36363636363637</v>
      </c>
      <c r="J15">
        <f>AVERAGE(VicenteLineros!J:J)</f>
        <v>93.63636363636364</v>
      </c>
      <c r="K15">
        <f>AVERAGE(VicenteLineros!K:K)</f>
        <v>82.727272727272734</v>
      </c>
      <c r="L15">
        <f>AVERAGE(VicenteLineros!L:L)</f>
        <v>17.118181818181821</v>
      </c>
      <c r="M15">
        <f>AVERAGE(VicenteLineros!M:M)</f>
        <v>28.09090909090909</v>
      </c>
      <c r="N15">
        <f>AVERAGE(VicenteLineros!N:N)</f>
        <v>4.7272727272727275</v>
      </c>
      <c r="O15">
        <f>AVERAGE(VicenteLineros!O:O)</f>
        <v>23.363636363636363</v>
      </c>
      <c r="P15">
        <f>AVERAGE(VicenteLineros!P:P)</f>
        <v>11.254545454545456</v>
      </c>
      <c r="Q15">
        <f>AVERAGE(VicenteLineros!Q:Q)</f>
        <v>204.45454545454547</v>
      </c>
      <c r="R15">
        <f>AVERAGE(VicenteLineros!R:R)</f>
        <v>98.36363636363636</v>
      </c>
      <c r="S15">
        <f>AVERAGE(VicenteLineros!S:S)</f>
        <v>106.09090909090909</v>
      </c>
      <c r="T15">
        <f>AVERAGE(VicenteLineros!T:T)</f>
        <v>20.672727272727272</v>
      </c>
    </row>
    <row r="16" spans="1:20" x14ac:dyDescent="0.3">
      <c r="A16" s="4" t="s">
        <v>47</v>
      </c>
      <c r="B16">
        <f>AVERAGE(yoelchupa!B:B)</f>
        <v>622.79818181818189</v>
      </c>
      <c r="C16">
        <f>AVERAGE(yoelchupa!C:C)</f>
        <v>97.778181818181807</v>
      </c>
      <c r="D16">
        <f>AVERAGE(yoelchupa!D:D)</f>
        <v>0.54545454545454541</v>
      </c>
      <c r="E16">
        <f>AVERAGE(yoelchupa!E:E)</f>
        <v>3.6363636363636362</v>
      </c>
      <c r="F16">
        <f>AVERAGE(yoelchupa!F:F)</f>
        <v>0.36363636363636365</v>
      </c>
      <c r="G16">
        <f>AVERAGE(yoelchupa!G:G)</f>
        <v>0.18181818181818182</v>
      </c>
      <c r="H16">
        <f>AVERAGE(yoelchupa!H:H)</f>
        <v>3.7272727272727271</v>
      </c>
      <c r="I16">
        <f>AVERAGE(yoelchupa!I:I)</f>
        <v>81.454545454545453</v>
      </c>
      <c r="J16">
        <f>AVERAGE(yoelchupa!J:J)</f>
        <v>61.636363636363633</v>
      </c>
      <c r="K16">
        <f>AVERAGE(yoelchupa!K:K)</f>
        <v>19.818181818181817</v>
      </c>
      <c r="L16">
        <f>AVERAGE(yoelchupa!L:L)</f>
        <v>29.5</v>
      </c>
      <c r="M16">
        <f>AVERAGE(yoelchupa!M:M)</f>
        <v>8</v>
      </c>
      <c r="N16">
        <f>AVERAGE(yoelchupa!N:N)</f>
        <v>1.6363636363636365</v>
      </c>
      <c r="O16">
        <f>AVERAGE(yoelchupa!O:O)</f>
        <v>6.3636363636363633</v>
      </c>
      <c r="P16">
        <f>AVERAGE(yoelchupa!P:P)</f>
        <v>14.936363636363637</v>
      </c>
      <c r="Q16">
        <f>AVERAGE(yoelchupa!Q:Q)</f>
        <v>89.454545454545453</v>
      </c>
      <c r="R16">
        <f>AVERAGE(yoelchupa!R:R)</f>
        <v>63.272727272727273</v>
      </c>
      <c r="S16">
        <f>AVERAGE(yoelchupa!S:S)</f>
        <v>26.181818181818183</v>
      </c>
      <c r="T16">
        <f>AVERAGE(yoelchupa!T:T)</f>
        <v>37.509090909090908</v>
      </c>
    </row>
    <row r="18" spans="1:20" ht="43.2" x14ac:dyDescent="0.3">
      <c r="A18" s="5" t="s">
        <v>48</v>
      </c>
      <c r="B18" s="8">
        <f>_xlfn.PERCENTILE.EXC(B2:B16,0.5)</f>
        <v>622.79818181818189</v>
      </c>
      <c r="C18" s="8">
        <f t="shared" ref="C18:T18" si="0">_xlfn.PERCENTILE.EXC(C2:C16,0.5)</f>
        <v>120.38818181818183</v>
      </c>
      <c r="D18" s="8">
        <f t="shared" si="0"/>
        <v>2</v>
      </c>
      <c r="E18" s="8">
        <f t="shared" si="0"/>
        <v>5.7272727272727275</v>
      </c>
      <c r="F18" s="8">
        <f t="shared" si="0"/>
        <v>0.44444444444444442</v>
      </c>
      <c r="G18" s="8">
        <f t="shared" si="0"/>
        <v>1.5555555555555556</v>
      </c>
      <c r="H18" s="8">
        <f t="shared" si="0"/>
        <v>3.9090909090909092</v>
      </c>
      <c r="I18" s="8">
        <f t="shared" si="0"/>
        <v>160.27272727272728</v>
      </c>
      <c r="J18" s="8">
        <f t="shared" si="0"/>
        <v>72.63636363636364</v>
      </c>
      <c r="K18" s="8">
        <f t="shared" si="0"/>
        <v>82.727272727272734</v>
      </c>
      <c r="L18" s="8">
        <f t="shared" si="0"/>
        <v>23.581818181818178</v>
      </c>
      <c r="M18" s="8">
        <f t="shared" si="0"/>
        <v>6.0909090909090908</v>
      </c>
      <c r="N18" s="8">
        <f t="shared" si="0"/>
        <v>1.6363636363636365</v>
      </c>
      <c r="O18" s="8">
        <f t="shared" si="0"/>
        <v>3.7272727272727271</v>
      </c>
      <c r="P18" s="8">
        <f t="shared" si="0"/>
        <v>11.254545454545456</v>
      </c>
      <c r="Q18" s="8">
        <f t="shared" si="0"/>
        <v>167.09090909090909</v>
      </c>
      <c r="R18" s="8">
        <f t="shared" si="0"/>
        <v>74.909090909090907</v>
      </c>
      <c r="S18" s="8">
        <f t="shared" si="0"/>
        <v>90.63636363636364</v>
      </c>
      <c r="T18" s="8">
        <f t="shared" si="0"/>
        <v>23.6</v>
      </c>
    </row>
    <row r="19" spans="1:20" ht="57.6" x14ac:dyDescent="0.3">
      <c r="A19" s="6" t="s">
        <v>49</v>
      </c>
      <c r="B19" s="9">
        <f>_xlfn.PERCENTILE.EXC(B2:B16,0.75)</f>
        <v>1006.3363636363636</v>
      </c>
      <c r="C19" s="9">
        <f t="shared" ref="C19:T19" si="1">_xlfn.PERCENTILE.EXC(C2:C16,0.75)</f>
        <v>208.66454545454545</v>
      </c>
      <c r="D19" s="9">
        <f t="shared" si="1"/>
        <v>2.8181818181818183</v>
      </c>
      <c r="E19" s="9">
        <f t="shared" si="1"/>
        <v>11.909090909090908</v>
      </c>
      <c r="F19" s="9">
        <f t="shared" si="1"/>
        <v>0.54545454545454541</v>
      </c>
      <c r="G19" s="9">
        <f t="shared" si="1"/>
        <v>2.4545454545454546</v>
      </c>
      <c r="H19" s="9">
        <f t="shared" si="1"/>
        <v>4.1818181818181817</v>
      </c>
      <c r="I19" s="9">
        <f t="shared" si="1"/>
        <v>237.18181818181819</v>
      </c>
      <c r="J19" s="9">
        <f t="shared" si="1"/>
        <v>92.818181818181813</v>
      </c>
      <c r="K19" s="9">
        <f t="shared" si="1"/>
        <v>145.27272727272728</v>
      </c>
      <c r="L19" s="9">
        <f t="shared" si="1"/>
        <v>28.218181818181815</v>
      </c>
      <c r="M19" s="9">
        <f t="shared" si="1"/>
        <v>9.0909090909090917</v>
      </c>
      <c r="N19" s="9">
        <f t="shared" si="1"/>
        <v>2.2727272727272729</v>
      </c>
      <c r="O19" s="9">
        <f t="shared" si="1"/>
        <v>6.9090909090909092</v>
      </c>
      <c r="P19" s="9">
        <f t="shared" si="1"/>
        <v>12.3</v>
      </c>
      <c r="Q19" s="9">
        <f t="shared" si="1"/>
        <v>237.63636363636363</v>
      </c>
      <c r="R19" s="9">
        <f t="shared" si="1"/>
        <v>94.909090909090907</v>
      </c>
      <c r="S19" s="9">
        <f t="shared" si="1"/>
        <v>149</v>
      </c>
      <c r="T19" s="9">
        <f t="shared" si="1"/>
        <v>28.25454545454545</v>
      </c>
    </row>
    <row r="20" spans="1:20" ht="43.2" x14ac:dyDescent="0.3">
      <c r="A20" s="7" t="s">
        <v>50</v>
      </c>
      <c r="B20" s="2">
        <f>_xlfn.PERCENTILE.EXC(B2:B16,0.9)</f>
        <v>2077.7852727272734</v>
      </c>
      <c r="C20" s="2">
        <f t="shared" ref="C20:T20" si="2">_xlfn.PERCENTILE.EXC(C2:C16,0.9)</f>
        <v>358.19727272727283</v>
      </c>
      <c r="D20" s="2">
        <f t="shared" si="2"/>
        <v>6.7454545454545478</v>
      </c>
      <c r="E20" s="2">
        <f t="shared" si="2"/>
        <v>27.254545454545465</v>
      </c>
      <c r="F20" s="2">
        <f t="shared" si="2"/>
        <v>1.1636363636363636</v>
      </c>
      <c r="G20" s="2">
        <f t="shared" si="2"/>
        <v>5.9636363636363647</v>
      </c>
      <c r="H20" s="2">
        <f t="shared" si="2"/>
        <v>5.1636363636363631</v>
      </c>
      <c r="I20" s="2">
        <f t="shared" si="2"/>
        <v>383.14545454545458</v>
      </c>
      <c r="J20" s="2">
        <f t="shared" si="2"/>
        <v>115.65454545454546</v>
      </c>
      <c r="K20" s="2">
        <f t="shared" si="2"/>
        <v>285.76363636363641</v>
      </c>
      <c r="L20" s="2">
        <f t="shared" si="2"/>
        <v>31.200000000000003</v>
      </c>
      <c r="M20" s="2">
        <f t="shared" si="2"/>
        <v>17.45454545454546</v>
      </c>
      <c r="N20" s="2">
        <f t="shared" si="2"/>
        <v>3.9636363636363643</v>
      </c>
      <c r="O20" s="2">
        <f t="shared" si="2"/>
        <v>14.472727272727278</v>
      </c>
      <c r="P20" s="2">
        <f t="shared" si="2"/>
        <v>13.687272727272727</v>
      </c>
      <c r="Q20" s="2">
        <f t="shared" si="2"/>
        <v>388.74545454545461</v>
      </c>
      <c r="R20" s="2">
        <f t="shared" si="2"/>
        <v>115.65454545454546</v>
      </c>
      <c r="S20" s="2">
        <f t="shared" si="2"/>
        <v>290.38181818181823</v>
      </c>
      <c r="T20" s="2">
        <f t="shared" si="2"/>
        <v>34.803636363636365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AlexVargas</vt:lpstr>
      <vt:lpstr>AntoFlores</vt:lpstr>
      <vt:lpstr>BenjaCarrasco</vt:lpstr>
      <vt:lpstr>CamilaCarrascoBaier</vt:lpstr>
      <vt:lpstr>CataAguilar</vt:lpstr>
      <vt:lpstr>DiegoContreras</vt:lpstr>
      <vt:lpstr>FranPerez</vt:lpstr>
      <vt:lpstr>JoaquinAguilar</vt:lpstr>
      <vt:lpstr>LourdesArtigas</vt:lpstr>
      <vt:lpstr>Pantrucas</vt:lpstr>
      <vt:lpstr>Sepumae</vt:lpstr>
      <vt:lpstr>VicenteFigueroa</vt:lpstr>
      <vt:lpstr>VicenteHernandez</vt:lpstr>
      <vt:lpstr>VicenteLineros</vt:lpstr>
      <vt:lpstr>yoelchupa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2026-02-17T00:04:10Z</dcterms:created>
  <dcterms:modified xsi:type="dcterms:W3CDTF">2026-02-17T10:30:27Z</dcterms:modified>
</cp:coreProperties>
</file>