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Adaptive\"/>
    </mc:Choice>
  </mc:AlternateContent>
  <xr:revisionPtr revIDLastSave="0" documentId="13_ncr:1_{81F0B170-CEBF-43D1-B9FA-B13C9B868F45}" xr6:coauthVersionLast="47" xr6:coauthVersionMax="47" xr10:uidLastSave="{00000000-0000-0000-0000-000000000000}"/>
  <bookViews>
    <workbookView xWindow="-108" yWindow="-108" windowWidth="23256" windowHeight="13176" firstSheet="8" activeTab="12" xr2:uid="{00000000-000D-0000-FFFF-FFFF00000000}"/>
  </bookViews>
  <sheets>
    <sheet name="adap_CataAguilar" sheetId="1" r:id="rId1"/>
    <sheet name="adap_GonzaloCampos" sheetId="2" r:id="rId2"/>
    <sheet name="adap_IgnaciaDelgado" sheetId="3" r:id="rId3"/>
    <sheet name="adap_IsidoraToledo" sheetId="4" r:id="rId4"/>
    <sheet name="adap_JavierSalinas" sheetId="5" r:id="rId5"/>
    <sheet name="adap_MariannaMaregatti" sheetId="6" r:id="rId6"/>
    <sheet name="adap_SebastianRatto" sheetId="7" r:id="rId7"/>
    <sheet name="adap_SofiaVidal" sheetId="8" r:id="rId8"/>
    <sheet name="adap_VicenteOlguin" sheetId="9" r:id="rId9"/>
    <sheet name="adap_VicenteQuintana" sheetId="10" r:id="rId10"/>
    <sheet name="adap_VicenteVidal" sheetId="11" r:id="rId11"/>
    <sheet name="adap_yo" sheetId="12" r:id="rId12"/>
    <sheet name="Threshold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3" l="1"/>
  <c r="D17" i="13"/>
  <c r="E17" i="13"/>
  <c r="F17" i="13"/>
  <c r="G17" i="13"/>
  <c r="H17" i="13"/>
  <c r="I17" i="13"/>
  <c r="J17" i="13"/>
  <c r="K17" i="13"/>
  <c r="C16" i="13"/>
  <c r="D16" i="13"/>
  <c r="E16" i="13"/>
  <c r="F16" i="13"/>
  <c r="G16" i="13"/>
  <c r="H16" i="13"/>
  <c r="I16" i="13"/>
  <c r="J16" i="13"/>
  <c r="K16" i="13"/>
  <c r="B17" i="13"/>
  <c r="B16" i="13"/>
  <c r="C15" i="13"/>
  <c r="D15" i="13"/>
  <c r="E15" i="13"/>
  <c r="F15" i="13"/>
  <c r="G15" i="13"/>
  <c r="H15" i="13"/>
  <c r="I15" i="13"/>
  <c r="J15" i="13"/>
  <c r="K15" i="13"/>
  <c r="B15" i="13"/>
  <c r="J13" i="13"/>
  <c r="I13" i="13"/>
  <c r="H13" i="13"/>
  <c r="G13" i="13"/>
  <c r="F13" i="13"/>
  <c r="E13" i="13"/>
  <c r="D13" i="13"/>
  <c r="C13" i="13"/>
  <c r="B13" i="13"/>
  <c r="J12" i="13"/>
  <c r="I12" i="13"/>
  <c r="H12" i="13"/>
  <c r="G12" i="13"/>
  <c r="F12" i="13"/>
  <c r="E12" i="13"/>
  <c r="D12" i="13"/>
  <c r="C12" i="13"/>
  <c r="B12" i="13"/>
  <c r="J11" i="13"/>
  <c r="I11" i="13"/>
  <c r="H11" i="13"/>
  <c r="G11" i="13"/>
  <c r="F11" i="13"/>
  <c r="E11" i="13"/>
  <c r="D11" i="13"/>
  <c r="C11" i="13"/>
  <c r="B11" i="13"/>
  <c r="J10" i="13"/>
  <c r="I10" i="13"/>
  <c r="H10" i="13"/>
  <c r="G10" i="13"/>
  <c r="F10" i="13"/>
  <c r="E10" i="13"/>
  <c r="D10" i="13"/>
  <c r="C10" i="13"/>
  <c r="B10" i="13"/>
  <c r="J9" i="13"/>
  <c r="I9" i="13"/>
  <c r="H9" i="13"/>
  <c r="G9" i="13"/>
  <c r="F9" i="13"/>
  <c r="E9" i="13"/>
  <c r="D9" i="13"/>
  <c r="C9" i="13"/>
  <c r="B9" i="13"/>
  <c r="J8" i="13"/>
  <c r="I8" i="13"/>
  <c r="H8" i="13"/>
  <c r="G8" i="13"/>
  <c r="F8" i="13"/>
  <c r="E8" i="13"/>
  <c r="D8" i="13"/>
  <c r="C8" i="13"/>
  <c r="B8" i="13"/>
  <c r="J7" i="13"/>
  <c r="I7" i="13"/>
  <c r="H7" i="13"/>
  <c r="G7" i="13"/>
  <c r="F7" i="13"/>
  <c r="E7" i="13"/>
  <c r="D7" i="13"/>
  <c r="C7" i="13"/>
  <c r="B7" i="13"/>
  <c r="J6" i="13"/>
  <c r="I6" i="13"/>
  <c r="H6" i="13"/>
  <c r="G6" i="13"/>
  <c r="F6" i="13"/>
  <c r="E6" i="13"/>
  <c r="D6" i="13"/>
  <c r="C6" i="13"/>
  <c r="B6" i="13"/>
  <c r="J5" i="13"/>
  <c r="I5" i="13"/>
  <c r="H5" i="13"/>
  <c r="G5" i="13"/>
  <c r="F5" i="13"/>
  <c r="E5" i="13"/>
  <c r="D5" i="13"/>
  <c r="C5" i="13"/>
  <c r="B5" i="13"/>
  <c r="J4" i="13"/>
  <c r="I4" i="13"/>
  <c r="H4" i="13"/>
  <c r="G4" i="13"/>
  <c r="F4" i="13"/>
  <c r="E4" i="13"/>
  <c r="D4" i="13"/>
  <c r="C4" i="13"/>
  <c r="B4" i="13"/>
  <c r="J3" i="13"/>
  <c r="I3" i="13"/>
  <c r="H3" i="13"/>
  <c r="G3" i="13"/>
  <c r="F3" i="13"/>
  <c r="E3" i="13"/>
  <c r="D3" i="13"/>
  <c r="C3" i="13"/>
  <c r="B3" i="13"/>
  <c r="D2" i="13"/>
  <c r="E2" i="13"/>
  <c r="F2" i="13"/>
  <c r="G2" i="13"/>
  <c r="H2" i="13"/>
  <c r="I2" i="13"/>
  <c r="J2" i="13"/>
  <c r="C2" i="13"/>
  <c r="B2" i="13"/>
</calcChain>
</file>

<file path=xl/sharedStrings.xml><?xml version="1.0" encoding="utf-8"?>
<sst xmlns="http://schemas.openxmlformats.org/spreadsheetml/2006/main" count="499" uniqueCount="36">
  <si>
    <t>AttemptID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</si>
  <si>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</si>
  <si>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</si>
  <si>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</si>
  <si>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</si>
  <si>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</si>
  <si>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</si>
  <si>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</si>
  <si>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</si>
  <si>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</si>
  <si>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EndedInDeath</t>
  </si>
  <si>
    <t>TargetAnchorName</t>
  </si>
  <si>
    <t>TargetAnchor1</t>
  </si>
  <si>
    <t>TargetAnchor2</t>
  </si>
  <si>
    <t>TargetAnchor3</t>
  </si>
  <si>
    <t>TargetAnchor4</t>
  </si>
  <si>
    <t>TargetAnchor5</t>
  </si>
  <si>
    <t>TargetAnchor6</t>
  </si>
  <si>
    <t>TargetAnchor7</t>
  </si>
  <si>
    <t>TargetAnchor8</t>
  </si>
  <si>
    <t>jug1</t>
  </si>
  <si>
    <t>jug2</t>
  </si>
  <si>
    <t>jug3</t>
  </si>
  <si>
    <t>jug4</t>
  </si>
  <si>
    <t>jug5</t>
  </si>
  <si>
    <t>jug6</t>
  </si>
  <si>
    <t>jug7</t>
  </si>
  <si>
    <t>jug8</t>
  </si>
  <si>
    <t>jug9</t>
  </si>
  <si>
    <t>jug10</t>
  </si>
  <si>
    <t>jug11</t>
  </si>
  <si>
    <t>jug12</t>
  </si>
  <si>
    <t>AbandonoPilar</t>
  </si>
  <si>
    <t>Percentil50 (comun)</t>
  </si>
  <si>
    <t>Percentil75 (activacion)</t>
  </si>
  <si>
    <t>Percentil90 (critico)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</si>
</sst>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</v>
      </c>
      <c r="B2">
        <v>298.15179999999998</v>
      </c>
      <c r="C2">
        <v>1.4014279999999999</v>
      </c>
      <c r="D2">
        <v>1</v>
      </c>
      <c r="E2">
        <v>2.1887249999999998</v>
      </c>
      <c r="F2">
        <v>11.76764</v>
      </c>
      <c r="G2">
        <v>0.29179369999999999</v>
      </c>
      <c r="H2">
        <v>2.838581</v>
      </c>
      <c r="I2">
        <v>16.36758</v>
      </c>
      <c r="J2">
        <v>11.20393</v>
      </c>
      <c r="K2">
        <v>0</v>
      </c>
      <c r="L2" t="s">
        <v>12</v>
      </c>
    </row>
    <row r="3" spans="1:12" x14ac:dyDescent="0.3">
      <c r="A3">
        <v>2</v>
      </c>
      <c r="B3">
        <v>304.58550000000002</v>
      </c>
      <c r="C3">
        <v>1.295166</v>
      </c>
      <c r="D3">
        <v>1</v>
      </c>
      <c r="E3">
        <v>1.4539489999999999</v>
      </c>
      <c r="F3">
        <v>6.6426970000000001</v>
      </c>
      <c r="G3">
        <v>0.26016539999999999</v>
      </c>
      <c r="H3">
        <v>1.478704</v>
      </c>
      <c r="I3">
        <v>17.29147</v>
      </c>
      <c r="J3">
        <v>10.525589999999999</v>
      </c>
      <c r="K3">
        <v>0</v>
      </c>
      <c r="L3" t="s">
        <v>13</v>
      </c>
    </row>
    <row r="4" spans="1:12" x14ac:dyDescent="0.3">
      <c r="A4">
        <v>2</v>
      </c>
      <c r="B4">
        <v>309.47980000000001</v>
      </c>
      <c r="C4">
        <v>1.238556</v>
      </c>
      <c r="D4">
        <v>1</v>
      </c>
      <c r="E4">
        <v>1.53989</v>
      </c>
      <c r="F4">
        <v>6.6191599999999999</v>
      </c>
      <c r="G4">
        <v>0.22879849999999999</v>
      </c>
      <c r="H4">
        <v>1.8192189999999999</v>
      </c>
      <c r="I4">
        <v>17.680730000000001</v>
      </c>
      <c r="J4">
        <v>11.41799</v>
      </c>
      <c r="K4">
        <v>0</v>
      </c>
      <c r="L4" t="s">
        <v>14</v>
      </c>
    </row>
    <row r="5" spans="1:12" x14ac:dyDescent="0.3">
      <c r="A5">
        <v>2</v>
      </c>
      <c r="B5">
        <v>314.2285</v>
      </c>
      <c r="C5">
        <v>2.6144409999999998</v>
      </c>
      <c r="D5">
        <v>1</v>
      </c>
      <c r="E5">
        <v>1.1255790000000001</v>
      </c>
      <c r="F5">
        <v>3.3373379999999999</v>
      </c>
      <c r="G5">
        <v>0.68712399999999996</v>
      </c>
      <c r="H5">
        <v>10.069240000000001</v>
      </c>
      <c r="I5">
        <v>45.19397</v>
      </c>
      <c r="J5">
        <v>34.329709999999999</v>
      </c>
      <c r="K5">
        <v>1</v>
      </c>
      <c r="L5" t="s">
        <v>15</v>
      </c>
    </row>
    <row r="6" spans="1:12" x14ac:dyDescent="0.3">
      <c r="A6">
        <v>3</v>
      </c>
      <c r="B6">
        <v>321.79829999999998</v>
      </c>
      <c r="C6">
        <v>1.321075</v>
      </c>
      <c r="D6">
        <v>1</v>
      </c>
      <c r="E6">
        <v>1.8297490000000001</v>
      </c>
      <c r="F6">
        <v>9.1359049999999993</v>
      </c>
      <c r="G6">
        <v>0.24785209999999999</v>
      </c>
      <c r="H6">
        <v>2.936118</v>
      </c>
      <c r="I6">
        <v>17.023890000000002</v>
      </c>
      <c r="J6">
        <v>10.148720000000001</v>
      </c>
      <c r="K6">
        <v>0</v>
      </c>
      <c r="L6" t="s">
        <v>12</v>
      </c>
    </row>
    <row r="7" spans="1:12" x14ac:dyDescent="0.3">
      <c r="A7">
        <v>3</v>
      </c>
      <c r="B7">
        <v>334.33960000000002</v>
      </c>
      <c r="C7">
        <v>1.0375669999999999</v>
      </c>
      <c r="D7">
        <v>1</v>
      </c>
      <c r="E7">
        <v>2.1301540000000001</v>
      </c>
      <c r="F7">
        <v>9.0837859999999999</v>
      </c>
      <c r="G7">
        <v>0.2269939</v>
      </c>
      <c r="H7">
        <v>3.3429419999999999</v>
      </c>
      <c r="I7">
        <v>13.13204</v>
      </c>
      <c r="J7">
        <v>7.3203230000000001</v>
      </c>
      <c r="K7">
        <v>0</v>
      </c>
      <c r="L7" t="s">
        <v>13</v>
      </c>
    </row>
    <row r="8" spans="1:12" x14ac:dyDescent="0.3">
      <c r="A8">
        <v>3</v>
      </c>
      <c r="B8">
        <v>339.94639999999998</v>
      </c>
      <c r="C8">
        <v>1.2854920000000001</v>
      </c>
      <c r="D8">
        <v>1</v>
      </c>
      <c r="E8">
        <v>1.5565519999999999</v>
      </c>
      <c r="F8">
        <v>6.5999629999999998</v>
      </c>
      <c r="G8">
        <v>0.2498493</v>
      </c>
      <c r="H8">
        <v>0.92524810000000002</v>
      </c>
      <c r="I8">
        <v>17.924029999999998</v>
      </c>
      <c r="J8">
        <v>11.374079999999999</v>
      </c>
      <c r="K8">
        <v>0</v>
      </c>
      <c r="L8" t="s">
        <v>14</v>
      </c>
    </row>
    <row r="9" spans="1:12" x14ac:dyDescent="0.3">
      <c r="A9">
        <v>3</v>
      </c>
      <c r="B9">
        <v>344.91719999999998</v>
      </c>
      <c r="C9">
        <v>1.8434140000000001</v>
      </c>
      <c r="D9">
        <v>1</v>
      </c>
      <c r="E9">
        <v>1.5267329999999999</v>
      </c>
      <c r="F9">
        <v>5.0035689999999997</v>
      </c>
      <c r="G9">
        <v>0.5374835</v>
      </c>
      <c r="H9">
        <v>9.8762279999999993</v>
      </c>
      <c r="I9">
        <v>28.682110000000002</v>
      </c>
      <c r="J9">
        <v>21.626149999999999</v>
      </c>
      <c r="K9">
        <v>1</v>
      </c>
      <c r="L9" t="s">
        <v>15</v>
      </c>
    </row>
    <row r="10" spans="1:12" x14ac:dyDescent="0.3">
      <c r="A10">
        <v>4</v>
      </c>
      <c r="B10">
        <v>351.96010000000001</v>
      </c>
      <c r="C10">
        <v>1.1605829999999999</v>
      </c>
      <c r="D10">
        <v>1</v>
      </c>
      <c r="E10">
        <v>1.775137</v>
      </c>
      <c r="F10">
        <v>9.3560529999999993</v>
      </c>
      <c r="G10">
        <v>0.21013129999999999</v>
      </c>
      <c r="H10">
        <v>1.122627</v>
      </c>
      <c r="I10">
        <v>14.22986</v>
      </c>
      <c r="J10">
        <v>7.6454519999999997</v>
      </c>
      <c r="K10">
        <v>0</v>
      </c>
      <c r="L10" t="s">
        <v>12</v>
      </c>
    </row>
    <row r="11" spans="1:12" x14ac:dyDescent="0.3">
      <c r="A11">
        <v>4</v>
      </c>
      <c r="B11">
        <v>358.8313</v>
      </c>
      <c r="C11">
        <v>1.450806</v>
      </c>
      <c r="D11">
        <v>1</v>
      </c>
      <c r="E11">
        <v>1.596635</v>
      </c>
      <c r="F11">
        <v>7.0081160000000002</v>
      </c>
      <c r="G11">
        <v>0.28599089999999999</v>
      </c>
      <c r="H11">
        <v>1.362436</v>
      </c>
      <c r="I11">
        <v>19.59308</v>
      </c>
      <c r="J11">
        <v>12.191050000000001</v>
      </c>
      <c r="K11">
        <v>0</v>
      </c>
      <c r="L11" t="s">
        <v>13</v>
      </c>
    </row>
    <row r="12" spans="1:12" x14ac:dyDescent="0.3">
      <c r="A12">
        <v>4</v>
      </c>
      <c r="B12">
        <v>364.9905</v>
      </c>
      <c r="C12">
        <v>1.28653</v>
      </c>
      <c r="D12">
        <v>1</v>
      </c>
      <c r="E12">
        <v>1.6404989999999999</v>
      </c>
      <c r="F12">
        <v>7.6657609999999998</v>
      </c>
      <c r="G12">
        <v>0.27279179999999997</v>
      </c>
      <c r="H12">
        <v>0.41264279999999998</v>
      </c>
      <c r="I12">
        <v>16.692260000000001</v>
      </c>
      <c r="J12">
        <v>9.7536749999999994</v>
      </c>
      <c r="K12">
        <v>0</v>
      </c>
      <c r="L12" t="s">
        <v>14</v>
      </c>
    </row>
    <row r="13" spans="1:12" x14ac:dyDescent="0.3">
      <c r="A13">
        <v>4</v>
      </c>
      <c r="B13">
        <v>370.25599999999997</v>
      </c>
      <c r="C13">
        <v>1.7979430000000001</v>
      </c>
      <c r="D13">
        <v>1</v>
      </c>
      <c r="E13">
        <v>1.7582040000000001</v>
      </c>
      <c r="F13">
        <v>7.2429589999999999</v>
      </c>
      <c r="G13">
        <v>0.37501109999999999</v>
      </c>
      <c r="H13">
        <v>3.0131169999999998</v>
      </c>
      <c r="I13">
        <v>22.332699999999999</v>
      </c>
      <c r="J13">
        <v>15.167439999999999</v>
      </c>
      <c r="K13">
        <v>0</v>
      </c>
      <c r="L13" t="s">
        <v>15</v>
      </c>
    </row>
    <row r="14" spans="1:12" x14ac:dyDescent="0.3">
      <c r="A14">
        <v>4</v>
      </c>
      <c r="B14">
        <v>382.33280000000002</v>
      </c>
      <c r="C14">
        <v>1.7317199999999999</v>
      </c>
      <c r="D14">
        <v>1</v>
      </c>
      <c r="E14">
        <v>1.6292580000000001</v>
      </c>
      <c r="F14">
        <v>5.1822439999999999</v>
      </c>
      <c r="G14">
        <v>0.38695030000000002</v>
      </c>
      <c r="H14">
        <v>0.38581510000000002</v>
      </c>
      <c r="I14">
        <v>27.037749999999999</v>
      </c>
      <c r="J14">
        <v>19.22906</v>
      </c>
      <c r="K14">
        <v>0</v>
      </c>
      <c r="L14" t="s">
        <v>16</v>
      </c>
    </row>
    <row r="15" spans="1:12" x14ac:dyDescent="0.3">
      <c r="A15">
        <v>4</v>
      </c>
      <c r="B15">
        <v>389.83629999999999</v>
      </c>
      <c r="C15">
        <v>1.5959779999999999</v>
      </c>
      <c r="D15">
        <v>1</v>
      </c>
      <c r="E15">
        <v>1.3684540000000001</v>
      </c>
      <c r="F15">
        <v>5.3644910000000001</v>
      </c>
      <c r="G15">
        <v>0.3503542</v>
      </c>
      <c r="H15">
        <v>3.2487349999999999</v>
      </c>
      <c r="I15">
        <v>22.958539999999999</v>
      </c>
      <c r="J15">
        <v>15.21518</v>
      </c>
      <c r="K15">
        <v>0</v>
      </c>
      <c r="L15" t="s">
        <v>17</v>
      </c>
    </row>
    <row r="16" spans="1:12" x14ac:dyDescent="0.3">
      <c r="A16">
        <v>4</v>
      </c>
      <c r="B16">
        <v>396.28339999999997</v>
      </c>
      <c r="C16">
        <v>1.9146730000000001</v>
      </c>
      <c r="D16">
        <v>1</v>
      </c>
      <c r="E16">
        <v>1.2697240000000001</v>
      </c>
      <c r="F16">
        <v>4.5186380000000002</v>
      </c>
      <c r="G16">
        <v>0.47126829999999997</v>
      </c>
      <c r="H16">
        <v>10.214130000000001</v>
      </c>
      <c r="I16">
        <v>34.281640000000003</v>
      </c>
      <c r="J16">
        <v>26.60013</v>
      </c>
      <c r="K16">
        <v>1</v>
      </c>
      <c r="L16" t="s">
        <v>18</v>
      </c>
    </row>
    <row r="17" spans="1:12" x14ac:dyDescent="0.3">
      <c r="A17">
        <v>6</v>
      </c>
      <c r="B17">
        <v>410.51769999999999</v>
      </c>
      <c r="C17">
        <v>1.2064820000000001</v>
      </c>
      <c r="D17">
        <v>1</v>
      </c>
      <c r="E17">
        <v>1.5311600000000001</v>
      </c>
      <c r="F17">
        <v>7.7400539999999998</v>
      </c>
      <c r="G17">
        <v>0.2327574</v>
      </c>
      <c r="H17">
        <v>1.7182040000000001</v>
      </c>
      <c r="I17">
        <v>14.83671</v>
      </c>
      <c r="J17">
        <v>8.0418590000000005</v>
      </c>
      <c r="K17">
        <v>0</v>
      </c>
      <c r="L17" t="s">
        <v>12</v>
      </c>
    </row>
    <row r="18" spans="1:12" x14ac:dyDescent="0.3">
      <c r="A18">
        <v>6</v>
      </c>
      <c r="B18">
        <v>417.63249999999999</v>
      </c>
      <c r="C18">
        <v>1.2145999999999999</v>
      </c>
      <c r="D18">
        <v>1</v>
      </c>
      <c r="E18">
        <v>2.206213</v>
      </c>
      <c r="F18">
        <v>8.8312000000000008</v>
      </c>
      <c r="G18">
        <v>0.25888519999999998</v>
      </c>
      <c r="H18">
        <v>1.335477</v>
      </c>
      <c r="I18">
        <v>16.238320000000002</v>
      </c>
      <c r="J18">
        <v>9.8552549999999997</v>
      </c>
      <c r="K18">
        <v>0</v>
      </c>
      <c r="L18" t="s">
        <v>13</v>
      </c>
    </row>
    <row r="19" spans="1:12" x14ac:dyDescent="0.3">
      <c r="A19">
        <v>6</v>
      </c>
      <c r="B19">
        <v>421.90839999999997</v>
      </c>
      <c r="C19">
        <v>1.4027400000000001</v>
      </c>
      <c r="D19">
        <v>1</v>
      </c>
      <c r="E19">
        <v>1.689257</v>
      </c>
      <c r="F19">
        <v>6.8120149999999997</v>
      </c>
      <c r="G19">
        <v>0.27971360000000001</v>
      </c>
      <c r="H19">
        <v>1.7882150000000001</v>
      </c>
      <c r="I19">
        <v>20.582509999999999</v>
      </c>
      <c r="J19">
        <v>13.75703</v>
      </c>
      <c r="K19">
        <v>0</v>
      </c>
      <c r="L19" t="s">
        <v>14</v>
      </c>
    </row>
    <row r="20" spans="1:12" x14ac:dyDescent="0.3">
      <c r="A20">
        <v>6</v>
      </c>
      <c r="B20">
        <v>427.90170000000001</v>
      </c>
      <c r="C20">
        <v>1.8727419999999999</v>
      </c>
      <c r="D20">
        <v>0.83237680000000003</v>
      </c>
      <c r="E20">
        <v>2.8875359999999999</v>
      </c>
      <c r="F20">
        <v>10.86937</v>
      </c>
      <c r="G20">
        <v>0.44715949999999999</v>
      </c>
      <c r="H20">
        <v>11.535909999999999</v>
      </c>
      <c r="I20">
        <v>27.362780000000001</v>
      </c>
      <c r="J20">
        <v>18.707789999999999</v>
      </c>
      <c r="K20">
        <v>1</v>
      </c>
      <c r="L20" t="s">
        <v>15</v>
      </c>
    </row>
    <row r="21" spans="1:12" x14ac:dyDescent="0.3">
      <c r="A21">
        <v>7</v>
      </c>
      <c r="B21">
        <v>434.93860000000001</v>
      </c>
      <c r="C21">
        <v>1.045715</v>
      </c>
      <c r="D21">
        <v>1</v>
      </c>
      <c r="E21">
        <v>2.0704120000000001</v>
      </c>
      <c r="F21">
        <v>10.54646</v>
      </c>
      <c r="G21">
        <v>0.1892895</v>
      </c>
      <c r="H21">
        <v>1.9821150000000001</v>
      </c>
      <c r="I21">
        <v>13.153</v>
      </c>
      <c r="J21">
        <v>7.2679429999999998</v>
      </c>
      <c r="K21">
        <v>0</v>
      </c>
      <c r="L21" t="s">
        <v>12</v>
      </c>
    </row>
    <row r="22" spans="1:12" x14ac:dyDescent="0.3">
      <c r="A22">
        <v>7</v>
      </c>
      <c r="B22">
        <v>439.1499</v>
      </c>
      <c r="C22">
        <v>1.260284</v>
      </c>
      <c r="D22">
        <v>1</v>
      </c>
      <c r="E22">
        <v>1.746375</v>
      </c>
      <c r="F22">
        <v>7.801031</v>
      </c>
      <c r="G22">
        <v>0.27531480000000003</v>
      </c>
      <c r="H22">
        <v>3.7053539999999998</v>
      </c>
      <c r="I22">
        <v>16.56598</v>
      </c>
      <c r="J22">
        <v>9.8491210000000002</v>
      </c>
      <c r="K22">
        <v>0</v>
      </c>
      <c r="L22" t="s">
        <v>13</v>
      </c>
    </row>
    <row r="23" spans="1:12" x14ac:dyDescent="0.3">
      <c r="A23">
        <v>7</v>
      </c>
      <c r="B23">
        <v>444.08980000000003</v>
      </c>
      <c r="C23">
        <v>1.3592219999999999</v>
      </c>
      <c r="D23">
        <v>1</v>
      </c>
      <c r="E23">
        <v>1.6474230000000001</v>
      </c>
      <c r="F23">
        <v>6.9787350000000004</v>
      </c>
      <c r="G23">
        <v>0.2798485</v>
      </c>
      <c r="H23">
        <v>2.164933</v>
      </c>
      <c r="I23">
        <v>19.357189999999999</v>
      </c>
      <c r="J23">
        <v>12.562860000000001</v>
      </c>
      <c r="K23">
        <v>0</v>
      </c>
      <c r="L23" t="s">
        <v>14</v>
      </c>
    </row>
    <row r="24" spans="1:12" x14ac:dyDescent="0.3">
      <c r="A24">
        <v>8</v>
      </c>
      <c r="B24">
        <v>452.38900000000001</v>
      </c>
      <c r="C24">
        <v>1.411926</v>
      </c>
      <c r="D24">
        <v>1</v>
      </c>
      <c r="E24">
        <v>1.7357039999999999</v>
      </c>
      <c r="F24">
        <v>8.4035630000000001</v>
      </c>
      <c r="G24">
        <v>0.26532440000000002</v>
      </c>
      <c r="H24">
        <v>1.56227</v>
      </c>
      <c r="I24">
        <v>18.795480000000001</v>
      </c>
      <c r="J24">
        <v>11.484220000000001</v>
      </c>
      <c r="K24">
        <v>0</v>
      </c>
      <c r="L24" t="s">
        <v>12</v>
      </c>
    </row>
    <row r="25" spans="1:12" x14ac:dyDescent="0.3">
      <c r="A25">
        <v>8</v>
      </c>
      <c r="B25">
        <v>458.73880000000003</v>
      </c>
      <c r="C25">
        <v>1.700653</v>
      </c>
      <c r="D25">
        <v>0.99908699999999995</v>
      </c>
      <c r="E25">
        <v>1.9199189999999999</v>
      </c>
      <c r="F25">
        <v>8.2817279999999993</v>
      </c>
      <c r="G25">
        <v>0.34391179999999999</v>
      </c>
      <c r="H25">
        <v>4.61829</v>
      </c>
      <c r="I25">
        <v>22.02346</v>
      </c>
      <c r="J25">
        <v>13.01479</v>
      </c>
      <c r="K25">
        <v>0</v>
      </c>
      <c r="L25" t="s">
        <v>13</v>
      </c>
    </row>
    <row r="26" spans="1:12" x14ac:dyDescent="0.3">
      <c r="A26">
        <v>8</v>
      </c>
      <c r="B26">
        <v>466.74090000000001</v>
      </c>
      <c r="C26">
        <v>1.360382</v>
      </c>
      <c r="D26">
        <v>1</v>
      </c>
      <c r="E26">
        <v>1.346171</v>
      </c>
      <c r="F26">
        <v>5.9696389999999999</v>
      </c>
      <c r="G26">
        <v>0.25420530000000002</v>
      </c>
      <c r="H26">
        <v>0.94963390000000003</v>
      </c>
      <c r="I26">
        <v>18.491240000000001</v>
      </c>
      <c r="J26">
        <v>11.41108</v>
      </c>
      <c r="K26">
        <v>0</v>
      </c>
      <c r="L26" t="s">
        <v>14</v>
      </c>
    </row>
    <row r="27" spans="1:12" x14ac:dyDescent="0.3">
      <c r="A27">
        <v>8</v>
      </c>
      <c r="B27">
        <v>472.96890000000002</v>
      </c>
      <c r="C27">
        <v>1.765625</v>
      </c>
      <c r="D27">
        <v>1</v>
      </c>
      <c r="E27">
        <v>1.6930670000000001</v>
      </c>
      <c r="F27">
        <v>5.8821110000000001</v>
      </c>
      <c r="G27">
        <v>0.42226140000000001</v>
      </c>
      <c r="H27">
        <v>1.190207</v>
      </c>
      <c r="I27">
        <v>25.904990000000002</v>
      </c>
      <c r="J27">
        <v>17.647580000000001</v>
      </c>
      <c r="K27">
        <v>0</v>
      </c>
      <c r="L27" t="s">
        <v>15</v>
      </c>
    </row>
    <row r="28" spans="1:12" x14ac:dyDescent="0.3">
      <c r="A28">
        <v>8</v>
      </c>
      <c r="B28">
        <v>478.58330000000001</v>
      </c>
      <c r="C28">
        <v>1.6653439999999999</v>
      </c>
      <c r="D28">
        <v>1</v>
      </c>
      <c r="E28">
        <v>1.50054</v>
      </c>
      <c r="F28">
        <v>5.2050520000000002</v>
      </c>
      <c r="G28">
        <v>0.35348410000000002</v>
      </c>
      <c r="H28">
        <v>1.13141</v>
      </c>
      <c r="I28">
        <v>24.504249999999999</v>
      </c>
      <c r="J28">
        <v>16.651520000000001</v>
      </c>
      <c r="K28">
        <v>0</v>
      </c>
      <c r="L28" t="s">
        <v>16</v>
      </c>
    </row>
    <row r="29" spans="1:12" x14ac:dyDescent="0.3">
      <c r="A29">
        <v>8</v>
      </c>
      <c r="B29">
        <v>484.0829</v>
      </c>
      <c r="C29">
        <v>1.846741</v>
      </c>
      <c r="D29">
        <v>1</v>
      </c>
      <c r="E29">
        <v>1.369737</v>
      </c>
      <c r="F29">
        <v>4.695697</v>
      </c>
      <c r="G29">
        <v>0.52854179999999995</v>
      </c>
      <c r="H29">
        <v>9.4899339999999999</v>
      </c>
      <c r="I29">
        <v>30.628550000000001</v>
      </c>
      <c r="J29">
        <v>22.748809999999999</v>
      </c>
      <c r="K29">
        <v>1</v>
      </c>
      <c r="L29" t="s">
        <v>17</v>
      </c>
    </row>
    <row r="30" spans="1:12" x14ac:dyDescent="0.3">
      <c r="A30">
        <v>9</v>
      </c>
      <c r="B30">
        <v>491.83030000000002</v>
      </c>
      <c r="C30">
        <v>1.485382</v>
      </c>
      <c r="D30">
        <v>1</v>
      </c>
      <c r="E30">
        <v>1.3268930000000001</v>
      </c>
      <c r="F30">
        <v>6.2777580000000004</v>
      </c>
      <c r="G30">
        <v>0.27404630000000002</v>
      </c>
      <c r="H30">
        <v>1.9501820000000001</v>
      </c>
      <c r="I30">
        <v>20.290959999999998</v>
      </c>
      <c r="J30">
        <v>12.79454</v>
      </c>
      <c r="K30">
        <v>0</v>
      </c>
      <c r="L30" t="s">
        <v>12</v>
      </c>
    </row>
    <row r="31" spans="1:12" x14ac:dyDescent="0.3">
      <c r="A31">
        <v>9</v>
      </c>
      <c r="B31">
        <v>496.12599999999998</v>
      </c>
      <c r="C31">
        <v>1.1148070000000001</v>
      </c>
      <c r="D31">
        <v>1</v>
      </c>
      <c r="E31">
        <v>1.643867</v>
      </c>
      <c r="F31">
        <v>7.4782190000000002</v>
      </c>
      <c r="G31">
        <v>0.2560327</v>
      </c>
      <c r="H31">
        <v>2.1308699999999998</v>
      </c>
      <c r="I31">
        <v>14.28834</v>
      </c>
      <c r="J31">
        <v>8.1607350000000007</v>
      </c>
      <c r="K31">
        <v>0</v>
      </c>
      <c r="L31" t="s">
        <v>13</v>
      </c>
    </row>
    <row r="32" spans="1:12" x14ac:dyDescent="0.3">
      <c r="A32">
        <v>9</v>
      </c>
      <c r="B32">
        <v>499.28399999999999</v>
      </c>
      <c r="C32">
        <v>1.1611629999999999</v>
      </c>
      <c r="D32">
        <v>1</v>
      </c>
      <c r="E32">
        <v>1.6020589999999999</v>
      </c>
      <c r="F32">
        <v>6.9952889999999996</v>
      </c>
      <c r="G32">
        <v>0.22994880000000001</v>
      </c>
      <c r="H32">
        <v>2.485293</v>
      </c>
      <c r="I32">
        <v>16.031379999999999</v>
      </c>
      <c r="J32">
        <v>9.983606</v>
      </c>
      <c r="K32">
        <v>0</v>
      </c>
      <c r="L32" t="s">
        <v>14</v>
      </c>
    </row>
    <row r="33" spans="1:12" x14ac:dyDescent="0.3">
      <c r="A33">
        <v>10</v>
      </c>
      <c r="B33">
        <v>506.5224</v>
      </c>
      <c r="C33">
        <v>1.3592219999999999</v>
      </c>
      <c r="D33">
        <v>1</v>
      </c>
      <c r="E33">
        <v>1.5845560000000001</v>
      </c>
      <c r="F33">
        <v>8.2216640000000005</v>
      </c>
      <c r="G33">
        <v>0.24309900000000001</v>
      </c>
      <c r="H33">
        <v>1.8727130000000001</v>
      </c>
      <c r="I33">
        <v>16.574719999999999</v>
      </c>
      <c r="J33">
        <v>8.977506</v>
      </c>
      <c r="K33">
        <v>0</v>
      </c>
      <c r="L33" t="s">
        <v>12</v>
      </c>
    </row>
    <row r="34" spans="1:12" x14ac:dyDescent="0.3">
      <c r="A34">
        <v>10</v>
      </c>
      <c r="B34">
        <v>511.22239999999999</v>
      </c>
      <c r="C34">
        <v>1.3885799999999999</v>
      </c>
      <c r="D34">
        <v>1</v>
      </c>
      <c r="E34">
        <v>1.8773709999999999</v>
      </c>
      <c r="F34">
        <v>7.1930019999999999</v>
      </c>
      <c r="G34">
        <v>0.31420439999999999</v>
      </c>
      <c r="H34">
        <v>0.7389289</v>
      </c>
      <c r="I34">
        <v>19.052969999999998</v>
      </c>
      <c r="J34">
        <v>12.04363</v>
      </c>
      <c r="K34">
        <v>0</v>
      </c>
      <c r="L34" t="s">
        <v>13</v>
      </c>
    </row>
    <row r="35" spans="1:12" x14ac:dyDescent="0.3">
      <c r="A35">
        <v>10</v>
      </c>
      <c r="B35">
        <v>515.49099999999999</v>
      </c>
      <c r="C35">
        <v>1.395508</v>
      </c>
      <c r="D35">
        <v>1</v>
      </c>
      <c r="E35">
        <v>1.6759230000000001</v>
      </c>
      <c r="F35">
        <v>6.9357309999999996</v>
      </c>
      <c r="G35">
        <v>0.25911279999999998</v>
      </c>
      <c r="H35">
        <v>0.80298159999999996</v>
      </c>
      <c r="I35">
        <v>19.814160000000001</v>
      </c>
      <c r="J35">
        <v>13.021100000000001</v>
      </c>
      <c r="K35">
        <v>0</v>
      </c>
      <c r="L35" t="s">
        <v>14</v>
      </c>
    </row>
    <row r="36" spans="1:12" x14ac:dyDescent="0.3">
      <c r="A36">
        <v>10</v>
      </c>
      <c r="B36">
        <v>520.55349999999999</v>
      </c>
      <c r="C36">
        <v>1.7622679999999999</v>
      </c>
      <c r="D36">
        <v>1</v>
      </c>
      <c r="E36">
        <v>2.183373</v>
      </c>
      <c r="F36">
        <v>9.4463699999999999</v>
      </c>
      <c r="G36">
        <v>0.27810659999999998</v>
      </c>
      <c r="H36">
        <v>1.124309</v>
      </c>
      <c r="I36">
        <v>20.802019999999999</v>
      </c>
      <c r="J36">
        <v>9.0092739999999996</v>
      </c>
      <c r="K36">
        <v>0</v>
      </c>
      <c r="L36" t="s">
        <v>15</v>
      </c>
    </row>
    <row r="37" spans="1:12" x14ac:dyDescent="0.3">
      <c r="A37">
        <v>10</v>
      </c>
      <c r="B37">
        <v>525.90880000000004</v>
      </c>
      <c r="C37">
        <v>1.4580690000000001</v>
      </c>
      <c r="D37">
        <v>1</v>
      </c>
      <c r="E37">
        <v>2.5008020000000002</v>
      </c>
      <c r="F37">
        <v>9.2250119999999995</v>
      </c>
      <c r="G37">
        <v>0.35315819999999998</v>
      </c>
      <c r="H37">
        <v>3.6720809999999999</v>
      </c>
      <c r="I37">
        <v>20.602789999999999</v>
      </c>
      <c r="J37">
        <v>13.448320000000001</v>
      </c>
      <c r="K37">
        <v>0</v>
      </c>
      <c r="L37" t="s">
        <v>16</v>
      </c>
    </row>
    <row r="38" spans="1:12" x14ac:dyDescent="0.3">
      <c r="A38">
        <v>11</v>
      </c>
      <c r="B38">
        <v>533.06700000000001</v>
      </c>
      <c r="C38">
        <v>1.3739619999999999</v>
      </c>
      <c r="D38">
        <v>1</v>
      </c>
      <c r="E38">
        <v>1.536931</v>
      </c>
      <c r="F38">
        <v>7.4913860000000003</v>
      </c>
      <c r="G38">
        <v>0.25886179999999998</v>
      </c>
      <c r="H38">
        <v>2.1210939999999998</v>
      </c>
      <c r="I38">
        <v>18.259219999999999</v>
      </c>
      <c r="J38">
        <v>11.141579999999999</v>
      </c>
      <c r="K38">
        <v>0</v>
      </c>
      <c r="L38" t="s">
        <v>12</v>
      </c>
    </row>
    <row r="39" spans="1:12" x14ac:dyDescent="0.3">
      <c r="A39">
        <v>11</v>
      </c>
      <c r="B39">
        <v>537.45090000000005</v>
      </c>
      <c r="C39">
        <v>1.4326779999999999</v>
      </c>
      <c r="D39">
        <v>1</v>
      </c>
      <c r="E39">
        <v>1.404774</v>
      </c>
      <c r="F39">
        <v>6.2527309999999998</v>
      </c>
      <c r="G39">
        <v>0.2993922</v>
      </c>
      <c r="H39">
        <v>1.9681439999999999</v>
      </c>
      <c r="I39">
        <v>18.871919999999999</v>
      </c>
      <c r="J39">
        <v>11.402950000000001</v>
      </c>
      <c r="K39">
        <v>0</v>
      </c>
      <c r="L39" t="s">
        <v>13</v>
      </c>
    </row>
    <row r="40" spans="1:12" x14ac:dyDescent="0.3">
      <c r="A40">
        <v>11</v>
      </c>
      <c r="B40">
        <v>541.90589999999997</v>
      </c>
      <c r="C40">
        <v>1.4854130000000001</v>
      </c>
      <c r="D40">
        <v>1</v>
      </c>
      <c r="E40">
        <v>1.905977</v>
      </c>
      <c r="F40">
        <v>7.4422030000000001</v>
      </c>
      <c r="G40">
        <v>0.31319950000000002</v>
      </c>
      <c r="H40">
        <v>1.983376</v>
      </c>
      <c r="I40">
        <v>19.976109999999998</v>
      </c>
      <c r="J40">
        <v>14.113440000000001</v>
      </c>
      <c r="K40">
        <v>0</v>
      </c>
      <c r="L40" t="s">
        <v>14</v>
      </c>
    </row>
    <row r="41" spans="1:12" x14ac:dyDescent="0.3">
      <c r="A41">
        <v>11</v>
      </c>
      <c r="B41">
        <v>548.10550000000001</v>
      </c>
      <c r="C41">
        <v>1.5012209999999999</v>
      </c>
      <c r="D41">
        <v>1</v>
      </c>
      <c r="E41">
        <v>1.747328</v>
      </c>
      <c r="F41">
        <v>6.2671390000000002</v>
      </c>
      <c r="G41">
        <v>0.3428698</v>
      </c>
      <c r="H41">
        <v>3.3237190000000001</v>
      </c>
      <c r="I41">
        <v>21.189399999999999</v>
      </c>
      <c r="J41">
        <v>13.79322</v>
      </c>
      <c r="K41">
        <v>0</v>
      </c>
      <c r="L41" t="s">
        <v>15</v>
      </c>
    </row>
    <row r="42" spans="1:12" x14ac:dyDescent="0.3">
      <c r="A42">
        <v>11</v>
      </c>
      <c r="B42">
        <v>555.34670000000006</v>
      </c>
      <c r="C42">
        <v>1.5844119999999999</v>
      </c>
      <c r="D42">
        <v>1</v>
      </c>
      <c r="E42">
        <v>1.9190020000000001</v>
      </c>
      <c r="F42">
        <v>7.2779680000000004</v>
      </c>
      <c r="G42">
        <v>0.33378920000000001</v>
      </c>
      <c r="H42">
        <v>2.5376609999999999</v>
      </c>
      <c r="I42">
        <v>21.62116</v>
      </c>
      <c r="J42">
        <v>13.579700000000001</v>
      </c>
      <c r="K42">
        <v>0</v>
      </c>
      <c r="L42" t="s">
        <v>16</v>
      </c>
    </row>
    <row r="43" spans="1:12" x14ac:dyDescent="0.3">
      <c r="A43">
        <v>11</v>
      </c>
      <c r="B43">
        <v>561.34749999999997</v>
      </c>
      <c r="C43">
        <v>1.638916</v>
      </c>
      <c r="D43">
        <v>1</v>
      </c>
      <c r="E43">
        <v>2.771595</v>
      </c>
      <c r="F43">
        <v>9.9881659999999997</v>
      </c>
      <c r="G43">
        <v>0.37833319999999998</v>
      </c>
      <c r="H43">
        <v>3.567237</v>
      </c>
      <c r="I43">
        <v>23.586469999999998</v>
      </c>
      <c r="J43">
        <v>15.6701</v>
      </c>
      <c r="K43">
        <v>0</v>
      </c>
      <c r="L43" t="s">
        <v>17</v>
      </c>
    </row>
    <row r="44" spans="1:12" x14ac:dyDescent="0.3">
      <c r="A44">
        <v>11</v>
      </c>
      <c r="B44">
        <v>564.78060000000005</v>
      </c>
      <c r="C44">
        <v>0.36547849999999998</v>
      </c>
      <c r="D44">
        <v>0.1417071</v>
      </c>
      <c r="E44">
        <v>2.3842639999999999</v>
      </c>
      <c r="F44">
        <v>12.60378</v>
      </c>
      <c r="G44">
        <v>0.1966002</v>
      </c>
      <c r="H44">
        <v>11.72142</v>
      </c>
      <c r="I44">
        <v>3.7834120000000002</v>
      </c>
      <c r="J44">
        <v>0.85614460000000003</v>
      </c>
      <c r="K44">
        <v>1</v>
      </c>
      <c r="L44" t="s">
        <v>17</v>
      </c>
    </row>
    <row r="45" spans="1:12" x14ac:dyDescent="0.3">
      <c r="A45">
        <v>12</v>
      </c>
      <c r="B45">
        <v>572.53959999999995</v>
      </c>
      <c r="C45">
        <v>2.0666500000000001</v>
      </c>
      <c r="D45">
        <v>1</v>
      </c>
      <c r="E45">
        <v>1.148544</v>
      </c>
      <c r="F45">
        <v>4.5650750000000002</v>
      </c>
      <c r="G45">
        <v>0.47031220000000001</v>
      </c>
      <c r="H45">
        <v>13.05063</v>
      </c>
      <c r="I45">
        <v>32.958779999999997</v>
      </c>
      <c r="J45">
        <v>23.583400000000001</v>
      </c>
      <c r="K45">
        <v>1</v>
      </c>
      <c r="L45" t="s">
        <v>12</v>
      </c>
    </row>
    <row r="46" spans="1:12" x14ac:dyDescent="0.3">
      <c r="A46">
        <v>13</v>
      </c>
      <c r="B46">
        <v>579.60659999999996</v>
      </c>
      <c r="C46">
        <v>1.295898</v>
      </c>
      <c r="D46">
        <v>1</v>
      </c>
      <c r="E46">
        <v>1.535652</v>
      </c>
      <c r="F46">
        <v>7.3638180000000002</v>
      </c>
      <c r="G46">
        <v>0.24005599999999999</v>
      </c>
      <c r="H46">
        <v>3.186896</v>
      </c>
      <c r="I46">
        <v>17.517379999999999</v>
      </c>
      <c r="J46">
        <v>10.826750000000001</v>
      </c>
      <c r="K46">
        <v>0</v>
      </c>
      <c r="L46" t="s">
        <v>12</v>
      </c>
    </row>
    <row r="47" spans="1:12" x14ac:dyDescent="0.3">
      <c r="A47">
        <v>13</v>
      </c>
      <c r="B47">
        <v>583.9982</v>
      </c>
      <c r="C47">
        <v>1.2230220000000001</v>
      </c>
      <c r="D47">
        <v>1</v>
      </c>
      <c r="E47">
        <v>2.0817999999999999</v>
      </c>
      <c r="F47">
        <v>7.3425130000000003</v>
      </c>
      <c r="G47">
        <v>0.31247799999999998</v>
      </c>
      <c r="H47">
        <v>0.26858910000000003</v>
      </c>
      <c r="I47">
        <v>16.444559999999999</v>
      </c>
      <c r="J47">
        <v>10.075810000000001</v>
      </c>
      <c r="K47">
        <v>0</v>
      </c>
      <c r="L47" t="s">
        <v>13</v>
      </c>
    </row>
    <row r="48" spans="1:12" x14ac:dyDescent="0.3">
      <c r="A48">
        <v>13</v>
      </c>
      <c r="B48">
        <v>589.00049999999999</v>
      </c>
      <c r="C48">
        <v>2.2230219999999998</v>
      </c>
      <c r="D48">
        <v>1</v>
      </c>
      <c r="E48">
        <v>1.5815109999999999</v>
      </c>
      <c r="F48">
        <v>6.6053139999999999</v>
      </c>
      <c r="G48">
        <v>0.40663549999999998</v>
      </c>
      <c r="H48">
        <v>10.22466</v>
      </c>
      <c r="I48">
        <v>31.84421</v>
      </c>
      <c r="J48">
        <v>19.810590000000001</v>
      </c>
      <c r="K48">
        <v>1</v>
      </c>
      <c r="L48" t="s">
        <v>14</v>
      </c>
    </row>
    <row r="49" spans="1:12" x14ac:dyDescent="0.3">
      <c r="A49">
        <v>14</v>
      </c>
      <c r="B49">
        <v>596.49260000000004</v>
      </c>
      <c r="C49">
        <v>1.895081</v>
      </c>
      <c r="D49">
        <v>1</v>
      </c>
      <c r="E49">
        <v>2.1584479999999999</v>
      </c>
      <c r="F49">
        <v>12.03511</v>
      </c>
      <c r="G49">
        <v>0.21729770000000001</v>
      </c>
      <c r="H49">
        <v>1.9599519999999999</v>
      </c>
      <c r="I49">
        <v>21.521509999999999</v>
      </c>
      <c r="J49">
        <v>9.6359829999999995</v>
      </c>
      <c r="K49">
        <v>0</v>
      </c>
      <c r="L49" t="s">
        <v>12</v>
      </c>
    </row>
    <row r="50" spans="1:12" x14ac:dyDescent="0.3">
      <c r="A50">
        <v>14</v>
      </c>
      <c r="B50">
        <v>603.49519999999995</v>
      </c>
      <c r="C50">
        <v>1.448914</v>
      </c>
      <c r="D50">
        <v>1</v>
      </c>
      <c r="E50">
        <v>1.844733</v>
      </c>
      <c r="F50">
        <v>7.346889</v>
      </c>
      <c r="G50">
        <v>0.31511050000000002</v>
      </c>
      <c r="H50">
        <v>1.314853</v>
      </c>
      <c r="I50">
        <v>19.83614</v>
      </c>
      <c r="J50">
        <v>12.72186</v>
      </c>
      <c r="K50">
        <v>0</v>
      </c>
      <c r="L50" t="s">
        <v>13</v>
      </c>
    </row>
    <row r="51" spans="1:12" x14ac:dyDescent="0.3">
      <c r="A51">
        <v>14</v>
      </c>
      <c r="B51">
        <v>608.65419999999995</v>
      </c>
      <c r="C51">
        <v>1.6109009999999999</v>
      </c>
      <c r="D51">
        <v>1</v>
      </c>
      <c r="E51">
        <v>1.743608</v>
      </c>
      <c r="F51">
        <v>7.7114459999999996</v>
      </c>
      <c r="G51">
        <v>0.28728090000000001</v>
      </c>
      <c r="H51">
        <v>1.3934869999999999</v>
      </c>
      <c r="I51">
        <v>21.48011</v>
      </c>
      <c r="J51">
        <v>12.052160000000001</v>
      </c>
      <c r="K51">
        <v>0</v>
      </c>
      <c r="L51" t="s">
        <v>14</v>
      </c>
    </row>
    <row r="52" spans="1:12" x14ac:dyDescent="0.3">
      <c r="A52">
        <v>14</v>
      </c>
      <c r="B52">
        <v>614.90610000000004</v>
      </c>
      <c r="C52">
        <v>1.814697</v>
      </c>
      <c r="D52">
        <v>1</v>
      </c>
      <c r="E52">
        <v>1.666385</v>
      </c>
      <c r="F52">
        <v>5.3397800000000002</v>
      </c>
      <c r="G52">
        <v>0.43060880000000001</v>
      </c>
      <c r="H52">
        <v>1.6157250000000001</v>
      </c>
      <c r="I52">
        <v>27.150089999999999</v>
      </c>
      <c r="J52">
        <v>19.735379999999999</v>
      </c>
      <c r="K52">
        <v>0</v>
      </c>
      <c r="L52" t="s">
        <v>15</v>
      </c>
    </row>
    <row r="53" spans="1:12" x14ac:dyDescent="0.3">
      <c r="A53">
        <v>14</v>
      </c>
      <c r="B53">
        <v>620.22799999999995</v>
      </c>
      <c r="C53">
        <v>1.8480220000000001</v>
      </c>
      <c r="D53">
        <v>1</v>
      </c>
      <c r="E53">
        <v>1.4857370000000001</v>
      </c>
      <c r="F53">
        <v>4.941262</v>
      </c>
      <c r="G53">
        <v>0.36505779999999999</v>
      </c>
      <c r="H53">
        <v>3.3289800000000001</v>
      </c>
      <c r="I53">
        <v>29.466609999999999</v>
      </c>
      <c r="J53">
        <v>21.719840000000001</v>
      </c>
      <c r="K53">
        <v>0</v>
      </c>
      <c r="L53" t="s">
        <v>16</v>
      </c>
    </row>
    <row r="54" spans="1:12" x14ac:dyDescent="0.3">
      <c r="A54">
        <v>14</v>
      </c>
      <c r="B54">
        <v>627.24440000000004</v>
      </c>
      <c r="C54">
        <v>1.7810060000000001</v>
      </c>
      <c r="D54">
        <v>1</v>
      </c>
      <c r="E54">
        <v>1.2400260000000001</v>
      </c>
      <c r="F54">
        <v>4.7773380000000003</v>
      </c>
      <c r="G54">
        <v>0.35298960000000001</v>
      </c>
      <c r="H54">
        <v>0.28150459999999999</v>
      </c>
      <c r="I54">
        <v>26.215979999999998</v>
      </c>
      <c r="J54">
        <v>17.996849999999998</v>
      </c>
      <c r="K54">
        <v>0</v>
      </c>
      <c r="L54" t="s">
        <v>17</v>
      </c>
    </row>
    <row r="55" spans="1:12" x14ac:dyDescent="0.3">
      <c r="A55">
        <v>14</v>
      </c>
      <c r="B55">
        <v>655.29319999999996</v>
      </c>
      <c r="C55">
        <v>1.7767329999999999</v>
      </c>
      <c r="D55">
        <v>1</v>
      </c>
      <c r="E55">
        <v>1.2525250000000001</v>
      </c>
      <c r="F55">
        <v>5.1427690000000004</v>
      </c>
      <c r="G55">
        <v>0.70663399999999998</v>
      </c>
      <c r="H55">
        <v>2.7884310000000001</v>
      </c>
      <c r="I55">
        <v>25.329260000000001</v>
      </c>
      <c r="J55">
        <v>16.695399999999999</v>
      </c>
      <c r="K55">
        <v>0</v>
      </c>
      <c r="L55" t="s">
        <v>18</v>
      </c>
    </row>
    <row r="56" spans="1:12" x14ac:dyDescent="0.3">
      <c r="A56">
        <v>14</v>
      </c>
      <c r="B56">
        <v>664.55610000000001</v>
      </c>
      <c r="C56">
        <v>1.158264</v>
      </c>
      <c r="D56">
        <v>0.99928700000000004</v>
      </c>
      <c r="E56">
        <v>2.1359400000000002</v>
      </c>
      <c r="F56">
        <v>7.7895320000000003</v>
      </c>
      <c r="G56">
        <v>0.41252749999999999</v>
      </c>
      <c r="H56">
        <v>7.9000950000000003</v>
      </c>
      <c r="I56">
        <v>13.984529999999999</v>
      </c>
      <c r="J56">
        <v>7.493258</v>
      </c>
      <c r="K56">
        <v>0</v>
      </c>
      <c r="L56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18.357810000000001</v>
      </c>
      <c r="C2">
        <v>2.595526</v>
      </c>
      <c r="D2">
        <v>0.59881070000000003</v>
      </c>
      <c r="E2">
        <v>1.285474</v>
      </c>
      <c r="F2">
        <v>5.2190960000000004</v>
      </c>
      <c r="G2">
        <v>0.70156680000000005</v>
      </c>
      <c r="H2">
        <v>41.771929999999998</v>
      </c>
      <c r="I2">
        <v>34.482280000000003</v>
      </c>
      <c r="J2">
        <v>34.482280000000003</v>
      </c>
      <c r="K2">
        <v>0</v>
      </c>
      <c r="L2" t="s">
        <v>12</v>
      </c>
    </row>
    <row r="3" spans="1:12" x14ac:dyDescent="0.3">
      <c r="A3">
        <v>1</v>
      </c>
      <c r="B3">
        <v>41.370609999999999</v>
      </c>
      <c r="C3">
        <v>1.0186230000000001</v>
      </c>
      <c r="D3">
        <v>1</v>
      </c>
      <c r="E3">
        <v>2.0656780000000001</v>
      </c>
      <c r="F3">
        <v>10.033670000000001</v>
      </c>
      <c r="G3">
        <v>0.222105</v>
      </c>
      <c r="H3">
        <v>1.6947760000000001</v>
      </c>
      <c r="I3">
        <v>11.3231</v>
      </c>
      <c r="J3">
        <v>4.9850029999999999</v>
      </c>
      <c r="K3">
        <v>0</v>
      </c>
      <c r="L3" t="s">
        <v>12</v>
      </c>
    </row>
    <row r="4" spans="1:12" x14ac:dyDescent="0.3">
      <c r="A4">
        <v>1</v>
      </c>
      <c r="B4">
        <v>45.722029999999997</v>
      </c>
      <c r="C4">
        <v>2.9045749999999999</v>
      </c>
      <c r="D4">
        <v>0.92886959999999996</v>
      </c>
      <c r="E4">
        <v>3.2230859999999999</v>
      </c>
      <c r="F4">
        <v>14.49859</v>
      </c>
      <c r="G4">
        <v>0.68038900000000002</v>
      </c>
      <c r="H4">
        <v>11.360939999999999</v>
      </c>
      <c r="I4">
        <v>33.123199999999997</v>
      </c>
      <c r="J4">
        <v>20.753</v>
      </c>
      <c r="K4">
        <v>1</v>
      </c>
      <c r="L4" t="s">
        <v>13</v>
      </c>
    </row>
    <row r="5" spans="1:12" x14ac:dyDescent="0.3">
      <c r="A5">
        <v>2</v>
      </c>
      <c r="B5">
        <v>54.816459999999999</v>
      </c>
      <c r="C5">
        <v>1.4194560000000001</v>
      </c>
      <c r="D5">
        <v>1</v>
      </c>
      <c r="E5">
        <v>1.952677</v>
      </c>
      <c r="F5">
        <v>9.160774</v>
      </c>
      <c r="G5">
        <v>0.3129982</v>
      </c>
      <c r="H5">
        <v>2.221079</v>
      </c>
      <c r="I5">
        <v>16.626190000000001</v>
      </c>
      <c r="J5">
        <v>9.3241019999999999</v>
      </c>
      <c r="K5">
        <v>0</v>
      </c>
      <c r="L5" t="s">
        <v>12</v>
      </c>
    </row>
    <row r="6" spans="1:12" x14ac:dyDescent="0.3">
      <c r="A6">
        <v>2</v>
      </c>
      <c r="B6">
        <v>65.089839999999995</v>
      </c>
      <c r="C6">
        <v>1.3667910000000001</v>
      </c>
      <c r="D6">
        <v>1</v>
      </c>
      <c r="E6">
        <v>2.0671469999999998</v>
      </c>
      <c r="F6">
        <v>8.1461349999999992</v>
      </c>
      <c r="G6">
        <v>0.32354369999999999</v>
      </c>
      <c r="H6">
        <v>0.44605539999999999</v>
      </c>
      <c r="I6">
        <v>16.74803</v>
      </c>
      <c r="J6">
        <v>9.0498259999999995</v>
      </c>
      <c r="K6">
        <v>0</v>
      </c>
      <c r="L6" t="s">
        <v>13</v>
      </c>
    </row>
    <row r="7" spans="1:12" x14ac:dyDescent="0.3">
      <c r="A7">
        <v>2</v>
      </c>
      <c r="B7">
        <v>71.921229999999994</v>
      </c>
      <c r="C7">
        <v>1.5466770000000001</v>
      </c>
      <c r="D7">
        <v>1</v>
      </c>
      <c r="E7">
        <v>2.89377</v>
      </c>
      <c r="F7">
        <v>14.193239999999999</v>
      </c>
      <c r="G7">
        <v>0.2607121</v>
      </c>
      <c r="H7">
        <v>1.452016</v>
      </c>
      <c r="I7">
        <v>17.533999999999999</v>
      </c>
      <c r="J7">
        <v>7.1236439999999996</v>
      </c>
      <c r="K7">
        <v>0</v>
      </c>
      <c r="L7" t="s">
        <v>14</v>
      </c>
    </row>
    <row r="8" spans="1:12" x14ac:dyDescent="0.3">
      <c r="A8">
        <v>2</v>
      </c>
      <c r="B8">
        <v>74.624610000000004</v>
      </c>
      <c r="C8">
        <v>1.1816789999999999</v>
      </c>
      <c r="D8">
        <v>0.85984519999999998</v>
      </c>
      <c r="E8">
        <v>2.5482909999999999</v>
      </c>
      <c r="F8">
        <v>14.208830000000001</v>
      </c>
      <c r="G8">
        <v>0.42771209999999998</v>
      </c>
      <c r="H8">
        <v>32.086689999999997</v>
      </c>
      <c r="I8">
        <v>12.01615</v>
      </c>
      <c r="J8">
        <v>8.3127739999999992</v>
      </c>
      <c r="K8">
        <v>1</v>
      </c>
      <c r="L8" t="s">
        <v>15</v>
      </c>
    </row>
    <row r="9" spans="1:12" x14ac:dyDescent="0.3">
      <c r="A9">
        <v>3</v>
      </c>
      <c r="B9">
        <v>89.122380000000007</v>
      </c>
      <c r="C9">
        <v>0.97770690000000005</v>
      </c>
      <c r="D9">
        <v>1</v>
      </c>
      <c r="E9">
        <v>2.0358350000000001</v>
      </c>
      <c r="F9">
        <v>9.7482810000000004</v>
      </c>
      <c r="G9">
        <v>0.21253159999999999</v>
      </c>
      <c r="H9">
        <v>2.231735</v>
      </c>
      <c r="I9">
        <v>11.06854</v>
      </c>
      <c r="J9">
        <v>4.9847869999999999</v>
      </c>
      <c r="K9">
        <v>0</v>
      </c>
      <c r="L9" t="s">
        <v>12</v>
      </c>
    </row>
    <row r="10" spans="1:12" x14ac:dyDescent="0.3">
      <c r="A10">
        <v>3</v>
      </c>
      <c r="B10">
        <v>97.050190000000001</v>
      </c>
      <c r="C10">
        <v>1.1101909999999999</v>
      </c>
      <c r="D10">
        <v>1</v>
      </c>
      <c r="E10">
        <v>2.299728</v>
      </c>
      <c r="F10">
        <v>10.151949999999999</v>
      </c>
      <c r="G10">
        <v>0.22372349999999999</v>
      </c>
      <c r="H10">
        <v>2.0694840000000001</v>
      </c>
      <c r="I10">
        <v>12.23265</v>
      </c>
      <c r="J10">
        <v>5.0428480000000002</v>
      </c>
      <c r="K10">
        <v>0</v>
      </c>
      <c r="L10" t="s">
        <v>13</v>
      </c>
    </row>
    <row r="11" spans="1:12" x14ac:dyDescent="0.3">
      <c r="A11">
        <v>3</v>
      </c>
      <c r="B11">
        <v>102.4229</v>
      </c>
      <c r="C11">
        <v>1.0679700000000001</v>
      </c>
      <c r="D11">
        <v>1</v>
      </c>
      <c r="E11">
        <v>2.2693120000000002</v>
      </c>
      <c r="F11">
        <v>9.5072340000000004</v>
      </c>
      <c r="G11">
        <v>0.26396629999999999</v>
      </c>
      <c r="H11">
        <v>1.7647409999999999</v>
      </c>
      <c r="I11">
        <v>13.605510000000001</v>
      </c>
      <c r="J11">
        <v>7.620603</v>
      </c>
      <c r="K11">
        <v>0</v>
      </c>
      <c r="L11" t="s">
        <v>14</v>
      </c>
    </row>
    <row r="12" spans="1:12" x14ac:dyDescent="0.3">
      <c r="A12">
        <v>3</v>
      </c>
      <c r="B12">
        <v>106.34520000000001</v>
      </c>
      <c r="C12">
        <v>1.4207460000000001</v>
      </c>
      <c r="D12">
        <v>1</v>
      </c>
      <c r="E12">
        <v>1.6981839999999999</v>
      </c>
      <c r="F12">
        <v>6.2276740000000004</v>
      </c>
      <c r="G12">
        <v>0.32050479999999998</v>
      </c>
      <c r="H12">
        <v>3.053445</v>
      </c>
      <c r="I12">
        <v>17.997119999999999</v>
      </c>
      <c r="J12">
        <v>10.16569</v>
      </c>
      <c r="K12">
        <v>0</v>
      </c>
      <c r="L12" t="s">
        <v>15</v>
      </c>
    </row>
    <row r="13" spans="1:12" x14ac:dyDescent="0.3">
      <c r="A13">
        <v>3</v>
      </c>
      <c r="B13">
        <v>121.1083</v>
      </c>
      <c r="C13">
        <v>1.898109</v>
      </c>
      <c r="D13">
        <v>1</v>
      </c>
      <c r="E13">
        <v>1.7094279999999999</v>
      </c>
      <c r="F13">
        <v>6.6041270000000001</v>
      </c>
      <c r="G13">
        <v>0.36448049999999999</v>
      </c>
      <c r="H13">
        <v>2.500712</v>
      </c>
      <c r="I13">
        <v>23.295809999999999</v>
      </c>
      <c r="J13">
        <v>13.130240000000001</v>
      </c>
      <c r="K13">
        <v>0</v>
      </c>
      <c r="L13" t="s">
        <v>16</v>
      </c>
    </row>
    <row r="14" spans="1:12" x14ac:dyDescent="0.3">
      <c r="A14">
        <v>3</v>
      </c>
      <c r="B14">
        <v>142.02440000000001</v>
      </c>
      <c r="C14">
        <v>2.1856230000000001</v>
      </c>
      <c r="D14">
        <v>0.83938250000000003</v>
      </c>
      <c r="E14">
        <v>3.8362970000000001</v>
      </c>
      <c r="F14">
        <v>12.912699999999999</v>
      </c>
      <c r="G14">
        <v>0.53748229999999997</v>
      </c>
      <c r="H14">
        <v>12.204359999999999</v>
      </c>
      <c r="I14">
        <v>32.38335</v>
      </c>
      <c r="J14">
        <v>21.96827</v>
      </c>
      <c r="K14">
        <v>1</v>
      </c>
      <c r="L14" t="s">
        <v>17</v>
      </c>
    </row>
    <row r="15" spans="1:12" x14ac:dyDescent="0.3">
      <c r="A15">
        <v>4</v>
      </c>
      <c r="B15">
        <v>152.61760000000001</v>
      </c>
      <c r="C15">
        <v>1.4716340000000001</v>
      </c>
      <c r="D15">
        <v>1</v>
      </c>
      <c r="E15">
        <v>1.6304540000000001</v>
      </c>
      <c r="F15">
        <v>8.2538040000000006</v>
      </c>
      <c r="G15">
        <v>0.21336069999999999</v>
      </c>
      <c r="H15">
        <v>1.9765219999999999</v>
      </c>
      <c r="I15">
        <v>16.593330000000002</v>
      </c>
      <c r="J15">
        <v>7.4067410000000002</v>
      </c>
      <c r="K15">
        <v>0</v>
      </c>
      <c r="L15" t="s">
        <v>12</v>
      </c>
    </row>
    <row r="16" spans="1:12" x14ac:dyDescent="0.3">
      <c r="A16">
        <v>4</v>
      </c>
      <c r="B16">
        <v>156.88329999999999</v>
      </c>
      <c r="C16">
        <v>1.374619</v>
      </c>
      <c r="D16">
        <v>1</v>
      </c>
      <c r="E16">
        <v>1.856752</v>
      </c>
      <c r="F16">
        <v>6.9752989999999997</v>
      </c>
      <c r="G16">
        <v>0.32061089999999998</v>
      </c>
      <c r="H16">
        <v>1.3400080000000001</v>
      </c>
      <c r="I16">
        <v>16.769950000000001</v>
      </c>
      <c r="J16">
        <v>8.9881279999999997</v>
      </c>
      <c r="K16">
        <v>0</v>
      </c>
      <c r="L16" t="s">
        <v>13</v>
      </c>
    </row>
    <row r="17" spans="1:12" x14ac:dyDescent="0.3">
      <c r="A17">
        <v>4</v>
      </c>
      <c r="B17">
        <v>161.9881</v>
      </c>
      <c r="C17">
        <v>1.057159</v>
      </c>
      <c r="D17">
        <v>1</v>
      </c>
      <c r="E17">
        <v>1.819712</v>
      </c>
      <c r="F17">
        <v>7.6593549999999997</v>
      </c>
      <c r="G17">
        <v>0.20270550000000001</v>
      </c>
      <c r="H17">
        <v>1.297585</v>
      </c>
      <c r="I17">
        <v>13.54208</v>
      </c>
      <c r="J17">
        <v>7.6406879999999999</v>
      </c>
      <c r="K17">
        <v>0</v>
      </c>
      <c r="L17" t="s">
        <v>14</v>
      </c>
    </row>
    <row r="18" spans="1:12" x14ac:dyDescent="0.3">
      <c r="A18">
        <v>4</v>
      </c>
      <c r="B18">
        <v>168.72499999999999</v>
      </c>
      <c r="C18">
        <v>0.25389099999999998</v>
      </c>
      <c r="D18">
        <v>1</v>
      </c>
      <c r="E18">
        <v>0.64177490000000004</v>
      </c>
      <c r="F18">
        <v>1.2390890000000001</v>
      </c>
      <c r="G18">
        <v>0.51612959999999997</v>
      </c>
      <c r="H18">
        <v>18.25057</v>
      </c>
      <c r="I18">
        <v>5.6973510000000003</v>
      </c>
      <c r="J18">
        <v>5.0957540000000003</v>
      </c>
      <c r="K18">
        <v>1</v>
      </c>
      <c r="L18" t="s">
        <v>15</v>
      </c>
    </row>
    <row r="19" spans="1:12" x14ac:dyDescent="0.3">
      <c r="A19">
        <v>4</v>
      </c>
      <c r="B19">
        <v>179.16839999999999</v>
      </c>
      <c r="C19">
        <v>1.5180659999999999</v>
      </c>
      <c r="D19">
        <v>1</v>
      </c>
      <c r="E19">
        <v>2.3353090000000001</v>
      </c>
      <c r="F19">
        <v>9.9850270000000005</v>
      </c>
      <c r="G19">
        <v>0.20081689999999999</v>
      </c>
      <c r="H19">
        <v>3.119828</v>
      </c>
      <c r="I19">
        <v>16.137789999999999</v>
      </c>
      <c r="J19">
        <v>5.222899</v>
      </c>
      <c r="K19">
        <v>0</v>
      </c>
      <c r="L19" t="s">
        <v>16</v>
      </c>
    </row>
    <row r="20" spans="1:12" x14ac:dyDescent="0.3">
      <c r="A20">
        <v>4</v>
      </c>
      <c r="B20">
        <v>187.9862</v>
      </c>
      <c r="C20">
        <v>2.1583100000000002</v>
      </c>
      <c r="D20">
        <v>1</v>
      </c>
      <c r="E20">
        <v>1.4630529999999999</v>
      </c>
      <c r="F20">
        <v>5.5190780000000004</v>
      </c>
      <c r="G20">
        <v>0.43193930000000003</v>
      </c>
      <c r="H20">
        <v>2.5514480000000002</v>
      </c>
      <c r="I20">
        <v>28.099540000000001</v>
      </c>
      <c r="J20">
        <v>17.387979999999999</v>
      </c>
      <c r="K20">
        <v>0</v>
      </c>
      <c r="L20" t="s">
        <v>17</v>
      </c>
    </row>
    <row r="21" spans="1:12" x14ac:dyDescent="0.3">
      <c r="A21">
        <v>4</v>
      </c>
      <c r="B21">
        <v>199.14930000000001</v>
      </c>
      <c r="C21">
        <v>2.117264</v>
      </c>
      <c r="D21">
        <v>0.95906630000000004</v>
      </c>
      <c r="E21">
        <v>1.598403</v>
      </c>
      <c r="F21">
        <v>7.7261550000000003</v>
      </c>
      <c r="G21">
        <v>0.31651059999999998</v>
      </c>
      <c r="H21">
        <v>3.1296870000000001</v>
      </c>
      <c r="I21">
        <v>24.618970000000001</v>
      </c>
      <c r="J21">
        <v>14.29739</v>
      </c>
      <c r="K21">
        <v>0</v>
      </c>
      <c r="L21" t="s">
        <v>18</v>
      </c>
    </row>
    <row r="22" spans="1:12" x14ac:dyDescent="0.3">
      <c r="A22">
        <v>4</v>
      </c>
      <c r="B22">
        <v>226.88630000000001</v>
      </c>
      <c r="C22">
        <v>1.4042509999999999</v>
      </c>
      <c r="D22">
        <v>1</v>
      </c>
      <c r="E22">
        <v>2.3629159999999998</v>
      </c>
      <c r="F22">
        <v>7.9328139999999996</v>
      </c>
      <c r="G22">
        <v>0.42334959999999999</v>
      </c>
      <c r="H22">
        <v>7.7261980000000001</v>
      </c>
      <c r="I22">
        <v>16.382629999999999</v>
      </c>
      <c r="J22">
        <v>8.280322</v>
      </c>
      <c r="K22">
        <v>0</v>
      </c>
      <c r="L22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6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220.37200000000001</v>
      </c>
      <c r="C2">
        <v>1.473465</v>
      </c>
      <c r="D2">
        <v>1</v>
      </c>
      <c r="E2">
        <v>1.9115949999999999</v>
      </c>
      <c r="F2">
        <v>9.0861549999999998</v>
      </c>
      <c r="G2">
        <v>0.29617520000000003</v>
      </c>
      <c r="H2">
        <v>3.3761040000000002</v>
      </c>
      <c r="I2">
        <v>17.882760000000001</v>
      </c>
      <c r="J2">
        <v>9.5703379999999996</v>
      </c>
      <c r="K2">
        <v>0</v>
      </c>
      <c r="L2" t="s">
        <v>12</v>
      </c>
    </row>
    <row r="3" spans="1:12" x14ac:dyDescent="0.3">
      <c r="A3">
        <v>1</v>
      </c>
      <c r="B3">
        <v>225.434</v>
      </c>
      <c r="C3">
        <v>1.8342130000000001</v>
      </c>
      <c r="D3">
        <v>1</v>
      </c>
      <c r="E3">
        <v>1.50912</v>
      </c>
      <c r="F3">
        <v>6.1073469999999999</v>
      </c>
      <c r="G3">
        <v>0.41348479999999999</v>
      </c>
      <c r="H3">
        <v>2.4971960000000002</v>
      </c>
      <c r="I3">
        <v>25.2041</v>
      </c>
      <c r="J3">
        <v>17.62771</v>
      </c>
      <c r="K3">
        <v>0</v>
      </c>
      <c r="L3" t="s">
        <v>13</v>
      </c>
    </row>
    <row r="4" spans="1:12" x14ac:dyDescent="0.3">
      <c r="A4">
        <v>1</v>
      </c>
      <c r="B4">
        <v>230.76740000000001</v>
      </c>
      <c r="C4">
        <v>1.8153840000000001</v>
      </c>
      <c r="D4">
        <v>1</v>
      </c>
      <c r="E4">
        <v>2.3404539999999998</v>
      </c>
      <c r="F4">
        <v>12.018459999999999</v>
      </c>
      <c r="G4">
        <v>0.27125149999999998</v>
      </c>
      <c r="H4">
        <v>1.407114</v>
      </c>
      <c r="I4">
        <v>20.837</v>
      </c>
      <c r="J4">
        <v>8.3600949999999994</v>
      </c>
      <c r="K4">
        <v>0</v>
      </c>
      <c r="L4" t="s">
        <v>14</v>
      </c>
    </row>
    <row r="5" spans="1:12" x14ac:dyDescent="0.3">
      <c r="A5">
        <v>1</v>
      </c>
      <c r="B5">
        <v>236.55629999999999</v>
      </c>
      <c r="C5">
        <v>1.67424</v>
      </c>
      <c r="D5">
        <v>1</v>
      </c>
      <c r="E5">
        <v>1.8681909999999999</v>
      </c>
      <c r="F5">
        <v>6.7569350000000004</v>
      </c>
      <c r="G5">
        <v>0.38091920000000001</v>
      </c>
      <c r="H5">
        <v>2.4648840000000001</v>
      </c>
      <c r="I5">
        <v>21.565829999999998</v>
      </c>
      <c r="J5">
        <v>12.883620000000001</v>
      </c>
      <c r="K5">
        <v>0</v>
      </c>
      <c r="L5" t="s">
        <v>15</v>
      </c>
    </row>
    <row r="6" spans="1:12" x14ac:dyDescent="0.3">
      <c r="A6">
        <v>1</v>
      </c>
      <c r="B6">
        <v>241.70160000000001</v>
      </c>
      <c r="C6">
        <v>1.4823759999999999</v>
      </c>
      <c r="D6">
        <v>1</v>
      </c>
      <c r="E6">
        <v>2.0182799999999999</v>
      </c>
      <c r="F6">
        <v>7.9344780000000004</v>
      </c>
      <c r="G6">
        <v>0.34184989999999998</v>
      </c>
      <c r="H6">
        <v>1.1118749999999999</v>
      </c>
      <c r="I6">
        <v>18.314520000000002</v>
      </c>
      <c r="J6">
        <v>10.320399999999999</v>
      </c>
      <c r="K6">
        <v>0</v>
      </c>
      <c r="L6" t="s">
        <v>16</v>
      </c>
    </row>
    <row r="7" spans="1:12" x14ac:dyDescent="0.3">
      <c r="A7">
        <v>1</v>
      </c>
      <c r="B7">
        <v>247.3964</v>
      </c>
      <c r="C7">
        <v>1.7568820000000001</v>
      </c>
      <c r="D7">
        <v>1</v>
      </c>
      <c r="E7">
        <v>1.5956440000000001</v>
      </c>
      <c r="F7">
        <v>6.0381070000000001</v>
      </c>
      <c r="G7">
        <v>0.35897709999999999</v>
      </c>
      <c r="H7">
        <v>1.5647819999999999</v>
      </c>
      <c r="I7">
        <v>23.783609999999999</v>
      </c>
      <c r="J7">
        <v>14.92201</v>
      </c>
      <c r="K7">
        <v>0</v>
      </c>
      <c r="L7" t="s">
        <v>17</v>
      </c>
    </row>
    <row r="8" spans="1:12" x14ac:dyDescent="0.3">
      <c r="A8">
        <v>1</v>
      </c>
      <c r="B8">
        <v>252.31190000000001</v>
      </c>
      <c r="C8">
        <v>1.9086609999999999</v>
      </c>
      <c r="D8">
        <v>1</v>
      </c>
      <c r="E8">
        <v>1.656185</v>
      </c>
      <c r="F8">
        <v>7.3953040000000003</v>
      </c>
      <c r="G8">
        <v>0.36534280000000002</v>
      </c>
      <c r="H8">
        <v>0.57380319999999996</v>
      </c>
      <c r="I8">
        <v>24.858550000000001</v>
      </c>
      <c r="J8">
        <v>13.90658</v>
      </c>
      <c r="K8">
        <v>0</v>
      </c>
      <c r="L8" t="s">
        <v>18</v>
      </c>
    </row>
    <row r="9" spans="1:12" x14ac:dyDescent="0.3">
      <c r="A9">
        <v>1</v>
      </c>
      <c r="B9">
        <v>259.63670000000002</v>
      </c>
      <c r="C9">
        <v>0.25518800000000003</v>
      </c>
      <c r="D9">
        <v>0</v>
      </c>
      <c r="E9">
        <v>0.84725760000000006</v>
      </c>
      <c r="F9">
        <v>1.161117</v>
      </c>
      <c r="G9">
        <v>0.59604199999999996</v>
      </c>
      <c r="H9">
        <v>24.632339999999999</v>
      </c>
      <c r="I9">
        <v>5.8375329999999996</v>
      </c>
      <c r="J9">
        <v>5.2457950000000002</v>
      </c>
      <c r="K9">
        <v>1</v>
      </c>
      <c r="L9" t="s">
        <v>19</v>
      </c>
    </row>
    <row r="10" spans="1:12" x14ac:dyDescent="0.3">
      <c r="A10">
        <v>2</v>
      </c>
      <c r="B10">
        <v>267.387</v>
      </c>
      <c r="C10">
        <v>1.1206050000000001</v>
      </c>
      <c r="D10">
        <v>1</v>
      </c>
      <c r="E10">
        <v>1.868187</v>
      </c>
      <c r="F10">
        <v>9.2724410000000006</v>
      </c>
      <c r="G10">
        <v>0.2294968</v>
      </c>
      <c r="H10">
        <v>2.8962590000000001</v>
      </c>
      <c r="I10">
        <v>12.894550000000001</v>
      </c>
      <c r="J10">
        <v>6.1005609999999999</v>
      </c>
      <c r="K10">
        <v>0</v>
      </c>
      <c r="L10" t="s">
        <v>12</v>
      </c>
    </row>
    <row r="11" spans="1:12" x14ac:dyDescent="0.3">
      <c r="A11">
        <v>2</v>
      </c>
      <c r="B11">
        <v>271.44420000000002</v>
      </c>
      <c r="C11">
        <v>1.656982</v>
      </c>
      <c r="D11">
        <v>1</v>
      </c>
      <c r="E11">
        <v>1.835995</v>
      </c>
      <c r="F11">
        <v>8.1201000000000008</v>
      </c>
      <c r="G11">
        <v>0.31788739999999999</v>
      </c>
      <c r="H11">
        <v>2.8480409999999998</v>
      </c>
      <c r="I11">
        <v>21.479970000000002</v>
      </c>
      <c r="J11">
        <v>13.183299999999999</v>
      </c>
      <c r="K11">
        <v>0</v>
      </c>
      <c r="L11" t="s">
        <v>13</v>
      </c>
    </row>
    <row r="12" spans="1:12" x14ac:dyDescent="0.3">
      <c r="A12">
        <v>2</v>
      </c>
      <c r="B12">
        <v>277.03030000000001</v>
      </c>
      <c r="C12">
        <v>1.431732</v>
      </c>
      <c r="D12">
        <v>1</v>
      </c>
      <c r="E12">
        <v>1.5369539999999999</v>
      </c>
      <c r="F12">
        <v>6.7069580000000002</v>
      </c>
      <c r="G12">
        <v>0.30782510000000002</v>
      </c>
      <c r="H12">
        <v>1.6357139999999999</v>
      </c>
      <c r="I12">
        <v>18.561810000000001</v>
      </c>
      <c r="J12">
        <v>11.447290000000001</v>
      </c>
      <c r="K12">
        <v>0</v>
      </c>
      <c r="L12" t="s">
        <v>14</v>
      </c>
    </row>
    <row r="13" spans="1:12" x14ac:dyDescent="0.3">
      <c r="A13">
        <v>2</v>
      </c>
      <c r="B13">
        <v>282.3501</v>
      </c>
      <c r="C13">
        <v>2.2623289999999998</v>
      </c>
      <c r="D13">
        <v>1</v>
      </c>
      <c r="E13">
        <v>2.3045879999999999</v>
      </c>
      <c r="F13">
        <v>9.2992139999999992</v>
      </c>
      <c r="G13">
        <v>0.35711500000000002</v>
      </c>
      <c r="H13">
        <v>2.7390080000000001</v>
      </c>
      <c r="I13">
        <v>27.508700000000001</v>
      </c>
      <c r="J13">
        <v>14.1006</v>
      </c>
      <c r="K13">
        <v>0</v>
      </c>
      <c r="L13" t="s">
        <v>15</v>
      </c>
    </row>
    <row r="14" spans="1:12" x14ac:dyDescent="0.3">
      <c r="A14">
        <v>2</v>
      </c>
      <c r="B14">
        <v>288.7509</v>
      </c>
      <c r="C14">
        <v>1.7733760000000001</v>
      </c>
      <c r="D14">
        <v>1</v>
      </c>
      <c r="E14">
        <v>2.3928769999999999</v>
      </c>
      <c r="F14">
        <v>9.5648520000000001</v>
      </c>
      <c r="G14">
        <v>0.31378709999999999</v>
      </c>
      <c r="H14">
        <v>0.58265520000000004</v>
      </c>
      <c r="I14">
        <v>21.514959999999999</v>
      </c>
      <c r="J14">
        <v>10.91452</v>
      </c>
      <c r="K14">
        <v>0</v>
      </c>
      <c r="L14" t="s">
        <v>16</v>
      </c>
    </row>
    <row r="15" spans="1:12" x14ac:dyDescent="0.3">
      <c r="A15">
        <v>2</v>
      </c>
      <c r="B15">
        <v>293.87560000000002</v>
      </c>
      <c r="C15">
        <v>1.736969</v>
      </c>
      <c r="D15">
        <v>1</v>
      </c>
      <c r="E15">
        <v>1.997601</v>
      </c>
      <c r="F15">
        <v>7.1831740000000002</v>
      </c>
      <c r="G15">
        <v>0.43696089999999999</v>
      </c>
      <c r="H15">
        <v>2.1598269999999999</v>
      </c>
      <c r="I15">
        <v>23.916129999999999</v>
      </c>
      <c r="J15">
        <v>15.29734</v>
      </c>
      <c r="K15">
        <v>0</v>
      </c>
      <c r="L15" t="s">
        <v>17</v>
      </c>
    </row>
    <row r="16" spans="1:12" x14ac:dyDescent="0.3">
      <c r="A16">
        <v>2</v>
      </c>
      <c r="B16">
        <v>297.33929999999998</v>
      </c>
      <c r="C16">
        <v>2.6118160000000001</v>
      </c>
      <c r="D16">
        <v>0.88870329999999997</v>
      </c>
      <c r="E16">
        <v>2.5596429999999999</v>
      </c>
      <c r="F16">
        <v>12.19172</v>
      </c>
      <c r="G16">
        <v>0.3506302</v>
      </c>
      <c r="H16">
        <v>11.1244</v>
      </c>
      <c r="I16">
        <v>32.542160000000003</v>
      </c>
      <c r="J16">
        <v>21.83306</v>
      </c>
      <c r="K16">
        <v>1</v>
      </c>
      <c r="L16" t="s">
        <v>18</v>
      </c>
    </row>
    <row r="17" spans="1:12" x14ac:dyDescent="0.3">
      <c r="A17">
        <v>3</v>
      </c>
      <c r="B17">
        <v>307.0985</v>
      </c>
      <c r="C17">
        <v>1.70163</v>
      </c>
      <c r="D17">
        <v>1</v>
      </c>
      <c r="E17">
        <v>1.654328</v>
      </c>
      <c r="F17">
        <v>7.7874889999999999</v>
      </c>
      <c r="G17">
        <v>0.3469931</v>
      </c>
      <c r="H17">
        <v>1.2990660000000001</v>
      </c>
      <c r="I17">
        <v>21.03098</v>
      </c>
      <c r="J17">
        <v>13.742050000000001</v>
      </c>
      <c r="K17">
        <v>0</v>
      </c>
      <c r="L17" t="s">
        <v>12</v>
      </c>
    </row>
    <row r="18" spans="1:12" x14ac:dyDescent="0.3">
      <c r="A18">
        <v>3</v>
      </c>
      <c r="B18">
        <v>310.7199</v>
      </c>
      <c r="C18">
        <v>1.2049259999999999</v>
      </c>
      <c r="D18">
        <v>1</v>
      </c>
      <c r="E18">
        <v>1.6814119999999999</v>
      </c>
      <c r="F18">
        <v>7.2142140000000001</v>
      </c>
      <c r="G18">
        <v>0.2768853</v>
      </c>
      <c r="H18">
        <v>1.1079779999999999</v>
      </c>
      <c r="I18">
        <v>15.848710000000001</v>
      </c>
      <c r="J18">
        <v>9.4633520000000004</v>
      </c>
      <c r="K18">
        <v>0</v>
      </c>
      <c r="L18" t="s">
        <v>13</v>
      </c>
    </row>
    <row r="19" spans="1:12" x14ac:dyDescent="0.3">
      <c r="A19">
        <v>3</v>
      </c>
      <c r="B19">
        <v>314.21179999999998</v>
      </c>
      <c r="C19">
        <v>1.967255</v>
      </c>
      <c r="D19">
        <v>1</v>
      </c>
      <c r="E19">
        <v>1.819831</v>
      </c>
      <c r="F19">
        <v>7.3203550000000002</v>
      </c>
      <c r="G19">
        <v>0.45534740000000001</v>
      </c>
      <c r="H19">
        <v>9.3904399999999999</v>
      </c>
      <c r="I19">
        <v>28.83745</v>
      </c>
      <c r="J19">
        <v>18.82799</v>
      </c>
      <c r="K19">
        <v>1</v>
      </c>
      <c r="L19" t="s">
        <v>14</v>
      </c>
    </row>
    <row r="20" spans="1:12" x14ac:dyDescent="0.3">
      <c r="A20">
        <v>4</v>
      </c>
      <c r="B20">
        <v>321.94549999999998</v>
      </c>
      <c r="C20">
        <v>1.5407709999999999</v>
      </c>
      <c r="D20">
        <v>1</v>
      </c>
      <c r="E20">
        <v>1.6842159999999999</v>
      </c>
      <c r="F20">
        <v>8.6913990000000005</v>
      </c>
      <c r="G20">
        <v>0.27546470000000001</v>
      </c>
      <c r="H20">
        <v>1.602292</v>
      </c>
      <c r="I20">
        <v>17.440169999999998</v>
      </c>
      <c r="J20">
        <v>7.8522480000000003</v>
      </c>
      <c r="K20">
        <v>0</v>
      </c>
      <c r="L20" t="s">
        <v>12</v>
      </c>
    </row>
    <row r="21" spans="1:12" x14ac:dyDescent="0.3">
      <c r="A21">
        <v>4</v>
      </c>
      <c r="B21">
        <v>325.58569999999997</v>
      </c>
      <c r="C21">
        <v>1.6379699999999999</v>
      </c>
      <c r="D21">
        <v>1</v>
      </c>
      <c r="E21">
        <v>1.751946</v>
      </c>
      <c r="F21">
        <v>7.1476199999999999</v>
      </c>
      <c r="G21">
        <v>0.47652159999999999</v>
      </c>
      <c r="H21">
        <v>0.98436029999999997</v>
      </c>
      <c r="I21">
        <v>20.58915</v>
      </c>
      <c r="J21">
        <v>11.660410000000001</v>
      </c>
      <c r="K21">
        <v>0</v>
      </c>
      <c r="L21" t="s">
        <v>13</v>
      </c>
    </row>
    <row r="22" spans="1:12" x14ac:dyDescent="0.3">
      <c r="A22">
        <v>4</v>
      </c>
      <c r="B22">
        <v>329.30560000000003</v>
      </c>
      <c r="C22">
        <v>1.369659</v>
      </c>
      <c r="D22">
        <v>1</v>
      </c>
      <c r="E22">
        <v>2.3225889999999998</v>
      </c>
      <c r="F22">
        <v>12.16366</v>
      </c>
      <c r="G22">
        <v>0.1823321</v>
      </c>
      <c r="H22">
        <v>0.78695199999999998</v>
      </c>
      <c r="I22">
        <v>15.46654</v>
      </c>
      <c r="J22">
        <v>6.4072829999999996</v>
      </c>
      <c r="K22">
        <v>0</v>
      </c>
      <c r="L22" t="s">
        <v>14</v>
      </c>
    </row>
    <row r="23" spans="1:12" x14ac:dyDescent="0.3">
      <c r="A23">
        <v>4</v>
      </c>
      <c r="B23">
        <v>332.81670000000003</v>
      </c>
      <c r="C23">
        <v>2.0508419999999998</v>
      </c>
      <c r="D23">
        <v>1</v>
      </c>
      <c r="E23">
        <v>2.6475059999999999</v>
      </c>
      <c r="F23">
        <v>10.20247</v>
      </c>
      <c r="G23">
        <v>0.38548929999999998</v>
      </c>
      <c r="H23">
        <v>9.5765799999999999</v>
      </c>
      <c r="I23">
        <v>25.949649999999998</v>
      </c>
      <c r="J23">
        <v>17.594529999999999</v>
      </c>
      <c r="K23">
        <v>1</v>
      </c>
      <c r="L23" t="s">
        <v>15</v>
      </c>
    </row>
    <row r="24" spans="1:12" x14ac:dyDescent="0.3">
      <c r="A24">
        <v>5</v>
      </c>
      <c r="B24">
        <v>342.46539999999999</v>
      </c>
      <c r="C24">
        <v>1.253876</v>
      </c>
      <c r="D24">
        <v>1</v>
      </c>
      <c r="E24">
        <v>1.575415</v>
      </c>
      <c r="F24">
        <v>7.0659380000000001</v>
      </c>
      <c r="G24">
        <v>0.38851219999999997</v>
      </c>
      <c r="H24">
        <v>2.145689</v>
      </c>
      <c r="I24">
        <v>15.384180000000001</v>
      </c>
      <c r="J24">
        <v>8.3243419999999997</v>
      </c>
      <c r="K24">
        <v>0</v>
      </c>
      <c r="L24" t="s">
        <v>12</v>
      </c>
    </row>
    <row r="25" spans="1:12" x14ac:dyDescent="0.3">
      <c r="A25">
        <v>5</v>
      </c>
      <c r="B25">
        <v>346.99029999999999</v>
      </c>
      <c r="C25">
        <v>1.6026309999999999</v>
      </c>
      <c r="D25">
        <v>1</v>
      </c>
      <c r="E25">
        <v>2.1403210000000001</v>
      </c>
      <c r="F25">
        <v>10.11543</v>
      </c>
      <c r="G25">
        <v>0.24860460000000001</v>
      </c>
      <c r="H25">
        <v>0.48181659999999998</v>
      </c>
      <c r="I25">
        <v>17.985130000000002</v>
      </c>
      <c r="J25">
        <v>7.8228850000000003</v>
      </c>
      <c r="K25">
        <v>0</v>
      </c>
      <c r="L25" t="s">
        <v>13</v>
      </c>
    </row>
    <row r="26" spans="1:12" x14ac:dyDescent="0.3">
      <c r="A26">
        <v>5</v>
      </c>
      <c r="B26">
        <v>350.8252</v>
      </c>
      <c r="C26">
        <v>1.7939149999999999</v>
      </c>
      <c r="D26">
        <v>1</v>
      </c>
      <c r="E26">
        <v>1.3111330000000001</v>
      </c>
      <c r="F26">
        <v>5.1539739999999998</v>
      </c>
      <c r="G26">
        <v>0.46630359999999998</v>
      </c>
      <c r="H26">
        <v>9.3967010000000002</v>
      </c>
      <c r="I26">
        <v>26.711220000000001</v>
      </c>
      <c r="J26">
        <v>18.54053</v>
      </c>
      <c r="K26">
        <v>1</v>
      </c>
      <c r="L26" t="s">
        <v>14</v>
      </c>
    </row>
    <row r="27" spans="1:12" x14ac:dyDescent="0.3">
      <c r="A27">
        <v>6</v>
      </c>
      <c r="B27">
        <v>359.46870000000001</v>
      </c>
      <c r="C27">
        <v>1.4798279999999999</v>
      </c>
      <c r="D27">
        <v>1</v>
      </c>
      <c r="E27">
        <v>1.8532029999999999</v>
      </c>
      <c r="F27">
        <v>8.1761049999999997</v>
      </c>
      <c r="G27">
        <v>0.33792</v>
      </c>
      <c r="H27">
        <v>0.80644079999999996</v>
      </c>
      <c r="I27">
        <v>19.266169999999999</v>
      </c>
      <c r="J27">
        <v>11.66133</v>
      </c>
      <c r="K27">
        <v>0</v>
      </c>
      <c r="L27" t="s">
        <v>12</v>
      </c>
    </row>
    <row r="28" spans="1:12" x14ac:dyDescent="0.3">
      <c r="A28">
        <v>6</v>
      </c>
      <c r="B28">
        <v>363.8759</v>
      </c>
      <c r="C28">
        <v>1.045288</v>
      </c>
      <c r="D28">
        <v>1</v>
      </c>
      <c r="E28">
        <v>2.269844</v>
      </c>
      <c r="F28">
        <v>9.7969880000000007</v>
      </c>
      <c r="G28">
        <v>0.22533919999999999</v>
      </c>
      <c r="H28">
        <v>2.8270050000000002</v>
      </c>
      <c r="I28">
        <v>12.27946</v>
      </c>
      <c r="J28">
        <v>6.0322019999999998</v>
      </c>
      <c r="K28">
        <v>0</v>
      </c>
      <c r="L28" t="s">
        <v>13</v>
      </c>
    </row>
    <row r="29" spans="1:12" x14ac:dyDescent="0.3">
      <c r="A29">
        <v>6</v>
      </c>
      <c r="B29">
        <v>367.73989999999998</v>
      </c>
      <c r="C29">
        <v>1.6213379999999999</v>
      </c>
      <c r="D29">
        <v>1</v>
      </c>
      <c r="E29">
        <v>2.0493760000000001</v>
      </c>
      <c r="F29">
        <v>9.9446530000000006</v>
      </c>
      <c r="G29">
        <v>0.28540690000000002</v>
      </c>
      <c r="H29">
        <v>0.96092390000000005</v>
      </c>
      <c r="I29">
        <v>19.57743</v>
      </c>
      <c r="J29">
        <v>10.53731</v>
      </c>
      <c r="K29">
        <v>0</v>
      </c>
      <c r="L29" t="s">
        <v>14</v>
      </c>
    </row>
    <row r="30" spans="1:12" x14ac:dyDescent="0.3">
      <c r="A30">
        <v>7</v>
      </c>
      <c r="B30">
        <v>379.25200000000001</v>
      </c>
      <c r="C30">
        <v>1.654938</v>
      </c>
      <c r="D30">
        <v>1</v>
      </c>
      <c r="E30">
        <v>1.51274</v>
      </c>
      <c r="F30">
        <v>6.9986240000000004</v>
      </c>
      <c r="G30">
        <v>0.34421819999999997</v>
      </c>
      <c r="H30">
        <v>1.019711</v>
      </c>
      <c r="I30">
        <v>20.750219999999999</v>
      </c>
      <c r="J30">
        <v>12.754110000000001</v>
      </c>
      <c r="K30">
        <v>0</v>
      </c>
      <c r="L30" t="s">
        <v>12</v>
      </c>
    </row>
    <row r="31" spans="1:12" x14ac:dyDescent="0.3">
      <c r="A31">
        <v>7</v>
      </c>
      <c r="B31">
        <v>383.93040000000002</v>
      </c>
      <c r="C31">
        <v>1.2088620000000001</v>
      </c>
      <c r="D31">
        <v>1</v>
      </c>
      <c r="E31">
        <v>2.1562960000000002</v>
      </c>
      <c r="F31">
        <v>8.3540989999999997</v>
      </c>
      <c r="G31">
        <v>0.2835086</v>
      </c>
      <c r="H31">
        <v>1.441058</v>
      </c>
      <c r="I31">
        <v>14.712400000000001</v>
      </c>
      <c r="J31">
        <v>7.9704119999999996</v>
      </c>
      <c r="K31">
        <v>0</v>
      </c>
      <c r="L31" t="s">
        <v>13</v>
      </c>
    </row>
    <row r="32" spans="1:12" x14ac:dyDescent="0.3">
      <c r="A32">
        <v>7</v>
      </c>
      <c r="B32">
        <v>387.81099999999998</v>
      </c>
      <c r="C32">
        <v>1.9336850000000001</v>
      </c>
      <c r="D32">
        <v>1</v>
      </c>
      <c r="E32">
        <v>2.5468649999999999</v>
      </c>
      <c r="F32">
        <v>13.34976</v>
      </c>
      <c r="G32">
        <v>0.25059009999999998</v>
      </c>
      <c r="H32">
        <v>1.8413870000000001</v>
      </c>
      <c r="I32">
        <v>20.985790000000001</v>
      </c>
      <c r="J32">
        <v>9.7431850000000004</v>
      </c>
      <c r="K32">
        <v>0</v>
      </c>
      <c r="L32" t="s">
        <v>14</v>
      </c>
    </row>
    <row r="33" spans="1:12" x14ac:dyDescent="0.3">
      <c r="A33">
        <v>7</v>
      </c>
      <c r="B33">
        <v>390.80599999999998</v>
      </c>
      <c r="C33">
        <v>0.68542479999999995</v>
      </c>
      <c r="D33">
        <v>1</v>
      </c>
      <c r="E33">
        <v>3.2995510000000001</v>
      </c>
      <c r="F33">
        <v>24.99222</v>
      </c>
      <c r="G33">
        <v>0.1112411</v>
      </c>
      <c r="H33">
        <v>29.32104</v>
      </c>
      <c r="I33">
        <v>5.1489019999999996</v>
      </c>
      <c r="J33">
        <v>1.9764390000000001</v>
      </c>
      <c r="K33">
        <v>0</v>
      </c>
      <c r="L33" t="s">
        <v>15</v>
      </c>
    </row>
    <row r="34" spans="1:12" x14ac:dyDescent="0.3">
      <c r="A34">
        <v>7</v>
      </c>
      <c r="B34">
        <v>396.16890000000001</v>
      </c>
      <c r="C34">
        <v>1.751495</v>
      </c>
      <c r="D34">
        <v>1</v>
      </c>
      <c r="E34">
        <v>1.537439</v>
      </c>
      <c r="F34">
        <v>5.7185269999999999</v>
      </c>
      <c r="G34">
        <v>0.32219249999999999</v>
      </c>
      <c r="H34">
        <v>1.0418289999999999</v>
      </c>
      <c r="I34">
        <v>23.121300000000002</v>
      </c>
      <c r="J34">
        <v>13.993690000000001</v>
      </c>
      <c r="K34">
        <v>0</v>
      </c>
      <c r="L34" t="s">
        <v>15</v>
      </c>
    </row>
    <row r="35" spans="1:12" x14ac:dyDescent="0.3">
      <c r="A35">
        <v>7</v>
      </c>
      <c r="B35">
        <v>401.24079999999998</v>
      </c>
      <c r="C35">
        <v>1.6140749999999999</v>
      </c>
      <c r="D35">
        <v>1</v>
      </c>
      <c r="E35">
        <v>1.814101</v>
      </c>
      <c r="F35">
        <v>6.6325599999999998</v>
      </c>
      <c r="G35">
        <v>0.35684640000000001</v>
      </c>
      <c r="H35">
        <v>0.75442489999999995</v>
      </c>
      <c r="I35">
        <v>20.787089999999999</v>
      </c>
      <c r="J35">
        <v>12.41039</v>
      </c>
      <c r="K35">
        <v>0</v>
      </c>
      <c r="L35" t="s">
        <v>16</v>
      </c>
    </row>
    <row r="36" spans="1:12" x14ac:dyDescent="0.3">
      <c r="A36">
        <v>7</v>
      </c>
      <c r="B36">
        <v>406.40679999999998</v>
      </c>
      <c r="C36">
        <v>2.288116</v>
      </c>
      <c r="D36">
        <v>1</v>
      </c>
      <c r="E36">
        <v>2.0130620000000001</v>
      </c>
      <c r="F36">
        <v>8.6744090000000007</v>
      </c>
      <c r="G36">
        <v>0.36448770000000003</v>
      </c>
      <c r="H36">
        <v>1.3839360000000001</v>
      </c>
      <c r="I36">
        <v>27.616219999999998</v>
      </c>
      <c r="J36">
        <v>16.312000000000001</v>
      </c>
      <c r="K36">
        <v>0</v>
      </c>
      <c r="L36" t="s">
        <v>17</v>
      </c>
    </row>
    <row r="37" spans="1:12" x14ac:dyDescent="0.3">
      <c r="A37">
        <v>7</v>
      </c>
      <c r="B37">
        <v>412.27499999999998</v>
      </c>
      <c r="C37">
        <v>1.643127</v>
      </c>
      <c r="D37">
        <v>1</v>
      </c>
      <c r="E37">
        <v>1.3161700000000001</v>
      </c>
      <c r="F37">
        <v>5.7286619999999999</v>
      </c>
      <c r="G37">
        <v>0.31986310000000001</v>
      </c>
      <c r="H37">
        <v>2.103059</v>
      </c>
      <c r="I37">
        <v>21.8264</v>
      </c>
      <c r="J37">
        <v>13.241250000000001</v>
      </c>
      <c r="K37">
        <v>0</v>
      </c>
      <c r="L37" t="s">
        <v>18</v>
      </c>
    </row>
    <row r="38" spans="1:12" x14ac:dyDescent="0.3">
      <c r="A38">
        <v>7</v>
      </c>
      <c r="B38">
        <v>418.8997</v>
      </c>
      <c r="C38">
        <v>3.1292719999999998</v>
      </c>
      <c r="D38">
        <v>0.49275799999999997</v>
      </c>
      <c r="E38">
        <v>3.2996180000000002</v>
      </c>
      <c r="F38">
        <v>10.79133</v>
      </c>
      <c r="G38">
        <v>0.56883720000000004</v>
      </c>
      <c r="H38">
        <v>23.121289999999998</v>
      </c>
      <c r="I38">
        <v>35.468800000000002</v>
      </c>
      <c r="J38">
        <v>28.749379999999999</v>
      </c>
      <c r="K38">
        <v>1</v>
      </c>
      <c r="L38" t="s">
        <v>19</v>
      </c>
    </row>
    <row r="39" spans="1:12" x14ac:dyDescent="0.3">
      <c r="A39">
        <v>8</v>
      </c>
      <c r="B39">
        <v>433.65519999999998</v>
      </c>
      <c r="C39">
        <v>1.4884029999999999</v>
      </c>
      <c r="D39">
        <v>1</v>
      </c>
      <c r="E39">
        <v>1.7057599999999999</v>
      </c>
      <c r="F39">
        <v>7.948423</v>
      </c>
      <c r="G39">
        <v>0.31039250000000002</v>
      </c>
      <c r="H39">
        <v>1.56182</v>
      </c>
      <c r="I39">
        <v>18.67052</v>
      </c>
      <c r="J39">
        <v>11.095700000000001</v>
      </c>
      <c r="K39">
        <v>0</v>
      </c>
      <c r="L39" t="s">
        <v>12</v>
      </c>
    </row>
    <row r="40" spans="1:12" x14ac:dyDescent="0.3">
      <c r="A40">
        <v>8</v>
      </c>
      <c r="B40">
        <v>438.24630000000002</v>
      </c>
      <c r="C40">
        <v>1.6831670000000001</v>
      </c>
      <c r="D40">
        <v>1</v>
      </c>
      <c r="E40">
        <v>1.597712</v>
      </c>
      <c r="F40">
        <v>6.3773590000000002</v>
      </c>
      <c r="G40">
        <v>0.57127669999999997</v>
      </c>
      <c r="H40">
        <v>0.81787200000000004</v>
      </c>
      <c r="I40">
        <v>21.29494</v>
      </c>
      <c r="J40">
        <v>12.916460000000001</v>
      </c>
      <c r="K40">
        <v>0</v>
      </c>
      <c r="L40" t="s">
        <v>13</v>
      </c>
    </row>
    <row r="41" spans="1:12" x14ac:dyDescent="0.3">
      <c r="A41">
        <v>8</v>
      </c>
      <c r="B41">
        <v>441.86689999999999</v>
      </c>
      <c r="C41">
        <v>1.0977779999999999</v>
      </c>
      <c r="D41">
        <v>1</v>
      </c>
      <c r="E41">
        <v>1.614808</v>
      </c>
      <c r="F41">
        <v>7.1223890000000001</v>
      </c>
      <c r="G41">
        <v>0.22755739999999999</v>
      </c>
      <c r="H41">
        <v>1.4305939999999999</v>
      </c>
      <c r="I41">
        <v>14.510249999999999</v>
      </c>
      <c r="J41">
        <v>8.5875599999999999</v>
      </c>
      <c r="K41">
        <v>0</v>
      </c>
      <c r="L41" t="s">
        <v>14</v>
      </c>
    </row>
    <row r="42" spans="1:12" x14ac:dyDescent="0.3">
      <c r="A42">
        <v>8</v>
      </c>
      <c r="B42">
        <v>445.81490000000002</v>
      </c>
      <c r="C42">
        <v>2.1077270000000001</v>
      </c>
      <c r="D42">
        <v>1</v>
      </c>
      <c r="E42">
        <v>2.730515</v>
      </c>
      <c r="F42">
        <v>11.688090000000001</v>
      </c>
      <c r="G42">
        <v>0.24297469999999999</v>
      </c>
      <c r="H42">
        <v>1.690868</v>
      </c>
      <c r="I42">
        <v>24.062360000000002</v>
      </c>
      <c r="J42">
        <v>11.65598</v>
      </c>
      <c r="K42">
        <v>0</v>
      </c>
      <c r="L42" t="s">
        <v>15</v>
      </c>
    </row>
    <row r="43" spans="1:12" x14ac:dyDescent="0.3">
      <c r="A43">
        <v>8</v>
      </c>
      <c r="B43">
        <v>451.23719999999997</v>
      </c>
      <c r="C43">
        <v>1.562103</v>
      </c>
      <c r="D43">
        <v>1</v>
      </c>
      <c r="E43">
        <v>2.2953839999999999</v>
      </c>
      <c r="F43">
        <v>10.79387</v>
      </c>
      <c r="G43">
        <v>0.21225450000000001</v>
      </c>
      <c r="H43">
        <v>0.37829689999999999</v>
      </c>
      <c r="I43">
        <v>17.012499999999999</v>
      </c>
      <c r="J43">
        <v>6.3337599999999998</v>
      </c>
      <c r="K43">
        <v>0</v>
      </c>
      <c r="L43" t="s">
        <v>16</v>
      </c>
    </row>
    <row r="44" spans="1:12" x14ac:dyDescent="0.3">
      <c r="A44">
        <v>8</v>
      </c>
      <c r="B44">
        <v>457.51150000000001</v>
      </c>
      <c r="C44">
        <v>2.3674010000000001</v>
      </c>
      <c r="D44">
        <v>0.99842790000000003</v>
      </c>
      <c r="E44">
        <v>2.2481059999999999</v>
      </c>
      <c r="F44">
        <v>9.9437479999999994</v>
      </c>
      <c r="G44">
        <v>0.38587749999999998</v>
      </c>
      <c r="H44">
        <v>1.31003</v>
      </c>
      <c r="I44">
        <v>28.48638</v>
      </c>
      <c r="J44">
        <v>16.542660000000001</v>
      </c>
      <c r="K44">
        <v>0</v>
      </c>
      <c r="L44" t="s">
        <v>17</v>
      </c>
    </row>
    <row r="45" spans="1:12" x14ac:dyDescent="0.3">
      <c r="A45">
        <v>8</v>
      </c>
      <c r="B45">
        <v>464.12310000000002</v>
      </c>
      <c r="C45">
        <v>1.6894530000000001</v>
      </c>
      <c r="D45">
        <v>1</v>
      </c>
      <c r="E45">
        <v>1.618687</v>
      </c>
      <c r="F45">
        <v>7.4557089999999997</v>
      </c>
      <c r="G45">
        <v>0.40086559999999999</v>
      </c>
      <c r="H45">
        <v>1.982216</v>
      </c>
      <c r="I45">
        <v>21.05939</v>
      </c>
      <c r="J45">
        <v>10.81448</v>
      </c>
      <c r="K45">
        <v>0</v>
      </c>
      <c r="L45" t="s">
        <v>18</v>
      </c>
    </row>
    <row r="46" spans="1:12" x14ac:dyDescent="0.3">
      <c r="A46">
        <v>8</v>
      </c>
      <c r="B46">
        <v>469.9289</v>
      </c>
      <c r="C46">
        <v>2.1748959999999999</v>
      </c>
      <c r="D46">
        <v>0.97197750000000005</v>
      </c>
      <c r="E46">
        <v>2.306165</v>
      </c>
      <c r="F46">
        <v>5.8024690000000003</v>
      </c>
      <c r="G46">
        <v>0.58925550000000004</v>
      </c>
      <c r="H46">
        <v>10.96768</v>
      </c>
      <c r="I46">
        <v>28.218630000000001</v>
      </c>
      <c r="J46">
        <v>17.16619</v>
      </c>
      <c r="K46">
        <v>0</v>
      </c>
      <c r="L46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18.73582</v>
      </c>
      <c r="C2">
        <v>1.1032869999999999</v>
      </c>
      <c r="D2">
        <v>1</v>
      </c>
      <c r="E2">
        <v>2.428283</v>
      </c>
      <c r="F2">
        <v>10.31765</v>
      </c>
      <c r="G2">
        <v>0.27964450000000002</v>
      </c>
      <c r="H2">
        <v>0.21101839999999999</v>
      </c>
      <c r="I2">
        <v>12.23832</v>
      </c>
      <c r="J2">
        <v>6.5287090000000001</v>
      </c>
      <c r="K2">
        <v>0</v>
      </c>
      <c r="L2" t="s">
        <v>12</v>
      </c>
    </row>
    <row r="3" spans="1:12" x14ac:dyDescent="0.3">
      <c r="A3">
        <v>1</v>
      </c>
      <c r="B3">
        <v>27.351019999999998</v>
      </c>
      <c r="C3">
        <v>1.300392</v>
      </c>
      <c r="D3">
        <v>1</v>
      </c>
      <c r="E3">
        <v>2.5564369999999998</v>
      </c>
      <c r="F3">
        <v>8.0258120000000002</v>
      </c>
      <c r="G3">
        <v>0.34214820000000001</v>
      </c>
      <c r="H3">
        <v>0.98543230000000004</v>
      </c>
      <c r="I3">
        <v>15.289289999999999</v>
      </c>
      <c r="J3">
        <v>8.8550149999999999</v>
      </c>
      <c r="K3">
        <v>0</v>
      </c>
      <c r="L3" t="s">
        <v>13</v>
      </c>
    </row>
    <row r="4" spans="1:12" x14ac:dyDescent="0.3">
      <c r="A4">
        <v>1</v>
      </c>
      <c r="B4">
        <v>35.272350000000003</v>
      </c>
      <c r="C4">
        <v>1.5690459999999999</v>
      </c>
      <c r="D4">
        <v>1</v>
      </c>
      <c r="E4">
        <v>1.8613960000000001</v>
      </c>
      <c r="F4">
        <v>7.7250550000000002</v>
      </c>
      <c r="G4">
        <v>0.40031709999999998</v>
      </c>
      <c r="H4">
        <v>1.04803</v>
      </c>
      <c r="I4">
        <v>19.276450000000001</v>
      </c>
      <c r="J4">
        <v>12.815810000000001</v>
      </c>
      <c r="K4">
        <v>0</v>
      </c>
      <c r="L4" t="s">
        <v>14</v>
      </c>
    </row>
    <row r="5" spans="1:12" x14ac:dyDescent="0.3">
      <c r="A5">
        <v>1</v>
      </c>
      <c r="B5">
        <v>49.289940000000001</v>
      </c>
      <c r="C5">
        <v>1.7481800000000001</v>
      </c>
      <c r="D5">
        <v>1</v>
      </c>
      <c r="E5">
        <v>1.8615520000000001</v>
      </c>
      <c r="F5">
        <v>5.6428859999999998</v>
      </c>
      <c r="G5">
        <v>0.48691479999999998</v>
      </c>
      <c r="H5">
        <v>0.86056259999999996</v>
      </c>
      <c r="I5">
        <v>22.432759999999998</v>
      </c>
      <c r="J5">
        <v>13.361129999999999</v>
      </c>
      <c r="K5">
        <v>0</v>
      </c>
      <c r="L5" t="s">
        <v>15</v>
      </c>
    </row>
    <row r="6" spans="1:12" x14ac:dyDescent="0.3">
      <c r="A6">
        <v>1</v>
      </c>
      <c r="B6">
        <v>60.217280000000002</v>
      </c>
      <c r="C6">
        <v>1.4934810000000001</v>
      </c>
      <c r="D6">
        <v>1</v>
      </c>
      <c r="E6">
        <v>2.3791470000000001</v>
      </c>
      <c r="F6">
        <v>7.5410659999999998</v>
      </c>
      <c r="G6">
        <v>0.4592176</v>
      </c>
      <c r="H6">
        <v>0.20232310000000001</v>
      </c>
      <c r="I6">
        <v>18.92953</v>
      </c>
      <c r="J6">
        <v>11.00427</v>
      </c>
      <c r="K6">
        <v>0</v>
      </c>
      <c r="L6" t="s">
        <v>16</v>
      </c>
    </row>
    <row r="7" spans="1:12" x14ac:dyDescent="0.3">
      <c r="A7">
        <v>1</v>
      </c>
      <c r="B7">
        <v>67.77722</v>
      </c>
      <c r="C7">
        <v>2.0434800000000002</v>
      </c>
      <c r="D7">
        <v>1</v>
      </c>
      <c r="E7">
        <v>1.7720199999999999</v>
      </c>
      <c r="F7">
        <v>5.5536250000000003</v>
      </c>
      <c r="G7">
        <v>0.49384990000000001</v>
      </c>
      <c r="H7">
        <v>0.9951721</v>
      </c>
      <c r="I7">
        <v>27.75947</v>
      </c>
      <c r="J7">
        <v>18.5883</v>
      </c>
      <c r="K7">
        <v>0</v>
      </c>
      <c r="L7" t="s">
        <v>17</v>
      </c>
    </row>
    <row r="8" spans="1:12" x14ac:dyDescent="0.3">
      <c r="A8">
        <v>1</v>
      </c>
      <c r="B8">
        <v>85.873959999999997</v>
      </c>
      <c r="C8">
        <v>1.7535780000000001</v>
      </c>
      <c r="D8">
        <v>1</v>
      </c>
      <c r="E8">
        <v>1.9185829999999999</v>
      </c>
      <c r="F8">
        <v>7.1473940000000002</v>
      </c>
      <c r="G8">
        <v>0.44074649999999999</v>
      </c>
      <c r="H8">
        <v>0.6296775</v>
      </c>
      <c r="I8">
        <v>22.548210000000001</v>
      </c>
      <c r="J8">
        <v>13.60276</v>
      </c>
      <c r="K8">
        <v>0</v>
      </c>
      <c r="L8" t="s">
        <v>18</v>
      </c>
    </row>
    <row r="9" spans="1:12" x14ac:dyDescent="0.3">
      <c r="A9">
        <v>1</v>
      </c>
      <c r="B9">
        <v>130.89400000000001</v>
      </c>
      <c r="C9">
        <v>2.3492890000000002</v>
      </c>
      <c r="D9">
        <v>0.89757260000000005</v>
      </c>
      <c r="E9">
        <v>3.0258449999999999</v>
      </c>
      <c r="F9">
        <v>5.4735699999999996</v>
      </c>
      <c r="G9">
        <v>0.70065750000000004</v>
      </c>
      <c r="H9">
        <v>10.34431</v>
      </c>
      <c r="I9">
        <v>28.746120000000001</v>
      </c>
      <c r="J9">
        <v>19.12452</v>
      </c>
      <c r="K9">
        <v>0</v>
      </c>
      <c r="L9" t="s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7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24</v>
      </c>
      <c r="B2">
        <v>1070.684</v>
      </c>
      <c r="C2">
        <v>1.5412600000000001</v>
      </c>
      <c r="D2">
        <v>0.94239019999999996</v>
      </c>
      <c r="E2">
        <v>4.2991599999999996</v>
      </c>
      <c r="F2">
        <v>12.18013</v>
      </c>
      <c r="G2">
        <v>0.36973980000000001</v>
      </c>
      <c r="H2">
        <v>1.6785509999999999</v>
      </c>
      <c r="I2">
        <v>16.2364</v>
      </c>
      <c r="J2">
        <v>9.3816109999999995</v>
      </c>
      <c r="K2">
        <v>0</v>
      </c>
      <c r="L2" t="s">
        <v>12</v>
      </c>
    </row>
    <row r="3" spans="1:12" x14ac:dyDescent="0.3">
      <c r="A3">
        <v>24</v>
      </c>
      <c r="B3">
        <v>1074.7539999999999</v>
      </c>
      <c r="C3">
        <v>1.2675780000000001</v>
      </c>
      <c r="D3">
        <v>1</v>
      </c>
      <c r="E3">
        <v>3.0209709999999999</v>
      </c>
      <c r="F3">
        <v>8.0920260000000006</v>
      </c>
      <c r="G3">
        <v>0.36500719999999998</v>
      </c>
      <c r="H3">
        <v>0.52399759999999995</v>
      </c>
      <c r="I3">
        <v>14.18642</v>
      </c>
      <c r="J3">
        <v>6.9668419999999998</v>
      </c>
      <c r="K3">
        <v>0</v>
      </c>
      <c r="L3" t="s">
        <v>13</v>
      </c>
    </row>
    <row r="4" spans="1:12" x14ac:dyDescent="0.3">
      <c r="A4">
        <v>24</v>
      </c>
      <c r="B4">
        <v>1077.404</v>
      </c>
      <c r="C4">
        <v>1.1544190000000001</v>
      </c>
      <c r="D4">
        <v>1</v>
      </c>
      <c r="E4">
        <v>5.9837540000000002</v>
      </c>
      <c r="F4">
        <v>12.17238</v>
      </c>
      <c r="G4">
        <v>0.70095269999999998</v>
      </c>
      <c r="H4">
        <v>9.1820299999999992</v>
      </c>
      <c r="I4">
        <v>17.205449999999999</v>
      </c>
      <c r="J4">
        <v>12.25895</v>
      </c>
      <c r="K4">
        <v>1</v>
      </c>
      <c r="L4" t="s">
        <v>14</v>
      </c>
    </row>
    <row r="5" spans="1:12" x14ac:dyDescent="0.3">
      <c r="A5">
        <v>25</v>
      </c>
      <c r="B5">
        <v>1084.297</v>
      </c>
      <c r="C5">
        <v>1.459595</v>
      </c>
      <c r="D5">
        <v>1</v>
      </c>
      <c r="E5">
        <v>3.23691</v>
      </c>
      <c r="F5">
        <v>9.5067199999999996</v>
      </c>
      <c r="G5">
        <v>0.419798</v>
      </c>
      <c r="H5">
        <v>0.98623839999999996</v>
      </c>
      <c r="I5">
        <v>15.32189</v>
      </c>
      <c r="J5">
        <v>8.1417730000000006</v>
      </c>
      <c r="K5">
        <v>0</v>
      </c>
      <c r="L5" t="s">
        <v>12</v>
      </c>
    </row>
    <row r="6" spans="1:12" x14ac:dyDescent="0.3">
      <c r="A6">
        <v>25</v>
      </c>
      <c r="B6">
        <v>1087.5319999999999</v>
      </c>
      <c r="C6">
        <v>1.0057370000000001</v>
      </c>
      <c r="D6">
        <v>1</v>
      </c>
      <c r="E6">
        <v>3.3278819999999998</v>
      </c>
      <c r="F6">
        <v>7.8057160000000003</v>
      </c>
      <c r="G6">
        <v>0.26018010000000003</v>
      </c>
      <c r="H6">
        <v>2.9642840000000001</v>
      </c>
      <c r="I6">
        <v>10.658480000000001</v>
      </c>
      <c r="J6">
        <v>4.1123700000000003</v>
      </c>
      <c r="K6">
        <v>0</v>
      </c>
      <c r="L6" t="s">
        <v>13</v>
      </c>
    </row>
    <row r="7" spans="1:12" x14ac:dyDescent="0.3">
      <c r="A7">
        <v>25</v>
      </c>
      <c r="B7">
        <v>1090.4659999999999</v>
      </c>
      <c r="C7">
        <v>1.4785159999999999</v>
      </c>
      <c r="D7">
        <v>1</v>
      </c>
      <c r="E7">
        <v>2.8799959999999998</v>
      </c>
      <c r="F7">
        <v>6.1637380000000004</v>
      </c>
      <c r="G7">
        <v>0.84328130000000001</v>
      </c>
      <c r="H7">
        <v>9.2309470000000005</v>
      </c>
      <c r="I7">
        <v>21.02617</v>
      </c>
      <c r="J7">
        <v>13.65626</v>
      </c>
      <c r="K7">
        <v>1</v>
      </c>
      <c r="L7" t="s">
        <v>14</v>
      </c>
    </row>
    <row r="8" spans="1:12" x14ac:dyDescent="0.3">
      <c r="A8">
        <v>26</v>
      </c>
      <c r="B8">
        <v>1117.9159999999999</v>
      </c>
      <c r="C8">
        <v>1.9505619999999999</v>
      </c>
      <c r="D8">
        <v>1</v>
      </c>
      <c r="E8">
        <v>2.1547830000000001</v>
      </c>
      <c r="F8">
        <v>4.6709209999999999</v>
      </c>
      <c r="G8">
        <v>0.87663530000000001</v>
      </c>
      <c r="H8">
        <v>13.8751</v>
      </c>
      <c r="I8">
        <v>28.601759999999999</v>
      </c>
      <c r="J8">
        <v>19.020189999999999</v>
      </c>
      <c r="K8">
        <v>1</v>
      </c>
      <c r="L8" t="s">
        <v>12</v>
      </c>
    </row>
    <row r="9" spans="1:12" x14ac:dyDescent="0.3">
      <c r="A9">
        <v>27</v>
      </c>
      <c r="B9">
        <v>1124.7919999999999</v>
      </c>
      <c r="C9">
        <v>1.48584</v>
      </c>
      <c r="D9">
        <v>1</v>
      </c>
      <c r="E9">
        <v>3.5752999999999999</v>
      </c>
      <c r="F9">
        <v>10.00193</v>
      </c>
      <c r="G9">
        <v>0.47861749999999997</v>
      </c>
      <c r="H9">
        <v>1.0510299999999999</v>
      </c>
      <c r="I9">
        <v>16.443210000000001</v>
      </c>
      <c r="J9">
        <v>8.4671489999999991</v>
      </c>
      <c r="K9">
        <v>0</v>
      </c>
      <c r="L9" t="s">
        <v>12</v>
      </c>
    </row>
    <row r="10" spans="1:12" x14ac:dyDescent="0.3">
      <c r="A10">
        <v>27</v>
      </c>
      <c r="B10">
        <v>1128.453</v>
      </c>
      <c r="C10">
        <v>1.504883</v>
      </c>
      <c r="D10">
        <v>1</v>
      </c>
      <c r="E10">
        <v>2.6949190000000001</v>
      </c>
      <c r="F10">
        <v>6.5736299999999996</v>
      </c>
      <c r="G10">
        <v>0.4901604</v>
      </c>
      <c r="H10">
        <v>2.9764930000000001</v>
      </c>
      <c r="I10">
        <v>18.0382</v>
      </c>
      <c r="J10">
        <v>9.6395029999999995</v>
      </c>
      <c r="K10">
        <v>0</v>
      </c>
      <c r="L10" t="s">
        <v>13</v>
      </c>
    </row>
    <row r="11" spans="1:12" x14ac:dyDescent="0.3">
      <c r="A11">
        <v>27</v>
      </c>
      <c r="B11">
        <v>1132.5039999999999</v>
      </c>
      <c r="C11">
        <v>1.4198</v>
      </c>
      <c r="D11">
        <v>1</v>
      </c>
      <c r="E11">
        <v>3.1216539999999999</v>
      </c>
      <c r="F11">
        <v>8.3772160000000007</v>
      </c>
      <c r="G11">
        <v>0.4280989</v>
      </c>
      <c r="H11">
        <v>1.1974210000000001</v>
      </c>
      <c r="I11">
        <v>16.02336</v>
      </c>
      <c r="J11">
        <v>7.9776769999999999</v>
      </c>
      <c r="K11">
        <v>0</v>
      </c>
      <c r="L11" t="s">
        <v>14</v>
      </c>
    </row>
    <row r="12" spans="1:12" x14ac:dyDescent="0.3">
      <c r="A12">
        <v>27</v>
      </c>
      <c r="B12">
        <v>1139.788</v>
      </c>
      <c r="C12">
        <v>1.923462</v>
      </c>
      <c r="D12">
        <v>1</v>
      </c>
      <c r="E12">
        <v>2.8207620000000002</v>
      </c>
      <c r="F12">
        <v>6.3070279999999999</v>
      </c>
      <c r="G12">
        <v>0.66954849999999999</v>
      </c>
      <c r="H12">
        <v>0.72070710000000004</v>
      </c>
      <c r="I12">
        <v>23.256530000000001</v>
      </c>
      <c r="J12">
        <v>13.779339999999999</v>
      </c>
      <c r="K12">
        <v>0</v>
      </c>
      <c r="L12" t="s">
        <v>15</v>
      </c>
    </row>
    <row r="13" spans="1:12" x14ac:dyDescent="0.3">
      <c r="A13">
        <v>27</v>
      </c>
      <c r="B13">
        <v>1148.973</v>
      </c>
      <c r="C13">
        <v>1.705444</v>
      </c>
      <c r="D13">
        <v>1</v>
      </c>
      <c r="E13">
        <v>3.9468890000000001</v>
      </c>
      <c r="F13">
        <v>9.4648269999999997</v>
      </c>
      <c r="G13">
        <v>0.619313</v>
      </c>
      <c r="H13">
        <v>1.1447099999999999</v>
      </c>
      <c r="I13">
        <v>19.59928</v>
      </c>
      <c r="J13">
        <v>10.48058</v>
      </c>
      <c r="K13">
        <v>0</v>
      </c>
      <c r="L13" t="s">
        <v>16</v>
      </c>
    </row>
    <row r="14" spans="1:12" x14ac:dyDescent="0.3">
      <c r="A14">
        <v>27</v>
      </c>
      <c r="B14">
        <v>1152.902</v>
      </c>
      <c r="C14">
        <v>2.0622560000000001</v>
      </c>
      <c r="D14">
        <v>1</v>
      </c>
      <c r="E14">
        <v>2.8936809999999999</v>
      </c>
      <c r="F14">
        <v>6.9663349999999999</v>
      </c>
      <c r="G14">
        <v>0.64427540000000005</v>
      </c>
      <c r="H14">
        <v>4.4773899999999998</v>
      </c>
      <c r="I14">
        <v>25.33822</v>
      </c>
      <c r="J14">
        <v>15.40851</v>
      </c>
      <c r="K14">
        <v>0</v>
      </c>
      <c r="L14" t="s">
        <v>17</v>
      </c>
    </row>
    <row r="15" spans="1:12" x14ac:dyDescent="0.3">
      <c r="A15">
        <v>28</v>
      </c>
      <c r="B15">
        <v>1160.722</v>
      </c>
      <c r="C15">
        <v>1.73291</v>
      </c>
      <c r="D15">
        <v>0.99898920000000002</v>
      </c>
      <c r="E15">
        <v>3.0130819999999998</v>
      </c>
      <c r="F15">
        <v>8.2907379999999993</v>
      </c>
      <c r="G15">
        <v>0.43830439999999998</v>
      </c>
      <c r="H15">
        <v>1.0964940000000001</v>
      </c>
      <c r="I15">
        <v>19.261649999999999</v>
      </c>
      <c r="J15">
        <v>10.20988</v>
      </c>
      <c r="K15">
        <v>0</v>
      </c>
      <c r="L15" t="s">
        <v>12</v>
      </c>
    </row>
    <row r="16" spans="1:12" x14ac:dyDescent="0.3">
      <c r="A16">
        <v>28</v>
      </c>
      <c r="B16">
        <v>1164.58</v>
      </c>
      <c r="C16">
        <v>0.86901859999999997</v>
      </c>
      <c r="D16">
        <v>1</v>
      </c>
      <c r="E16">
        <v>3.8731819999999999</v>
      </c>
      <c r="F16">
        <v>9.4948589999999999</v>
      </c>
      <c r="G16">
        <v>0.30169899999999999</v>
      </c>
      <c r="H16">
        <v>2.802298</v>
      </c>
      <c r="I16">
        <v>9.3822559999999999</v>
      </c>
      <c r="J16">
        <v>3.8273739999999998</v>
      </c>
      <c r="K16">
        <v>0</v>
      </c>
      <c r="L16" t="s">
        <v>13</v>
      </c>
    </row>
    <row r="17" spans="1:12" x14ac:dyDescent="0.3">
      <c r="A17">
        <v>28</v>
      </c>
      <c r="B17">
        <v>1167.4580000000001</v>
      </c>
      <c r="C17">
        <v>1.611572</v>
      </c>
      <c r="D17">
        <v>1</v>
      </c>
      <c r="E17">
        <v>3.1949900000000002</v>
      </c>
      <c r="F17">
        <v>6.6836820000000001</v>
      </c>
      <c r="G17">
        <v>0.80506670000000002</v>
      </c>
      <c r="H17">
        <v>9.5666229999999999</v>
      </c>
      <c r="I17">
        <v>23.423390000000001</v>
      </c>
      <c r="J17">
        <v>18.2957</v>
      </c>
      <c r="K17">
        <v>1</v>
      </c>
      <c r="L17" t="s">
        <v>14</v>
      </c>
    </row>
    <row r="18" spans="1:12" x14ac:dyDescent="0.3">
      <c r="A18">
        <v>29</v>
      </c>
      <c r="B18">
        <v>1173.7360000000001</v>
      </c>
      <c r="C18">
        <v>1.5893550000000001</v>
      </c>
      <c r="D18">
        <v>1</v>
      </c>
      <c r="E18">
        <v>2.5492439999999998</v>
      </c>
      <c r="F18">
        <v>7.0691059999999997</v>
      </c>
      <c r="G18">
        <v>0.43771529999999997</v>
      </c>
      <c r="H18">
        <v>1.304556</v>
      </c>
      <c r="I18">
        <v>17.670269999999999</v>
      </c>
      <c r="J18">
        <v>8.6602119999999996</v>
      </c>
      <c r="K18">
        <v>0</v>
      </c>
      <c r="L18" t="s">
        <v>12</v>
      </c>
    </row>
    <row r="19" spans="1:12" x14ac:dyDescent="0.3">
      <c r="A19">
        <v>29</v>
      </c>
      <c r="B19">
        <v>1179.884</v>
      </c>
      <c r="C19">
        <v>1.0649409999999999</v>
      </c>
      <c r="D19">
        <v>1</v>
      </c>
      <c r="E19">
        <v>3.0210469999999998</v>
      </c>
      <c r="F19">
        <v>8.4247300000000003</v>
      </c>
      <c r="G19">
        <v>0.30326310000000001</v>
      </c>
      <c r="H19">
        <v>2.8516759999999999</v>
      </c>
      <c r="I19">
        <v>11.474970000000001</v>
      </c>
      <c r="J19">
        <v>4.5106710000000003</v>
      </c>
      <c r="K19">
        <v>0</v>
      </c>
      <c r="L19" t="s">
        <v>13</v>
      </c>
    </row>
    <row r="20" spans="1:12" x14ac:dyDescent="0.3">
      <c r="A20">
        <v>29</v>
      </c>
      <c r="B20">
        <v>1182.8610000000001</v>
      </c>
      <c r="C20">
        <v>1.475708</v>
      </c>
      <c r="D20">
        <v>0.99350720000000003</v>
      </c>
      <c r="E20">
        <v>5.007225</v>
      </c>
      <c r="F20">
        <v>10.638489999999999</v>
      </c>
      <c r="G20">
        <v>0.81408659999999999</v>
      </c>
      <c r="H20">
        <v>11.10858</v>
      </c>
      <c r="I20">
        <v>22.12153</v>
      </c>
      <c r="J20">
        <v>15.1088</v>
      </c>
      <c r="K20">
        <v>1</v>
      </c>
      <c r="L20" t="s">
        <v>14</v>
      </c>
    </row>
    <row r="21" spans="1:12" x14ac:dyDescent="0.3">
      <c r="A21">
        <v>30</v>
      </c>
      <c r="B21">
        <v>1188.6479999999999</v>
      </c>
      <c r="C21">
        <v>1.460205</v>
      </c>
      <c r="D21">
        <v>1</v>
      </c>
      <c r="E21">
        <v>2.660066</v>
      </c>
      <c r="F21">
        <v>7.3527880000000003</v>
      </c>
      <c r="G21">
        <v>0.32306259999999998</v>
      </c>
      <c r="H21">
        <v>0.42843829999999999</v>
      </c>
      <c r="I21">
        <v>15.91816</v>
      </c>
      <c r="J21">
        <v>6.5039809999999996</v>
      </c>
      <c r="K21">
        <v>0</v>
      </c>
      <c r="L21" t="s">
        <v>12</v>
      </c>
    </row>
    <row r="22" spans="1:12" x14ac:dyDescent="0.3">
      <c r="A22">
        <v>30</v>
      </c>
      <c r="B22">
        <v>1193.4169999999999</v>
      </c>
      <c r="C22">
        <v>0.92468260000000002</v>
      </c>
      <c r="D22">
        <v>1</v>
      </c>
      <c r="E22">
        <v>3.1833979999999999</v>
      </c>
      <c r="F22">
        <v>8.4749649999999992</v>
      </c>
      <c r="G22">
        <v>0.38695839999999998</v>
      </c>
      <c r="H22">
        <v>3.294537</v>
      </c>
      <c r="I22">
        <v>10.14184</v>
      </c>
      <c r="J22">
        <v>4.3337349999999999</v>
      </c>
      <c r="K22">
        <v>0</v>
      </c>
      <c r="L22" t="s">
        <v>13</v>
      </c>
    </row>
    <row r="23" spans="1:12" x14ac:dyDescent="0.3">
      <c r="A23">
        <v>30</v>
      </c>
      <c r="B23">
        <v>1198.269</v>
      </c>
      <c r="C23">
        <v>1.6184080000000001</v>
      </c>
      <c r="D23">
        <v>1</v>
      </c>
      <c r="E23">
        <v>4.6549969999999998</v>
      </c>
      <c r="F23">
        <v>10.61083</v>
      </c>
      <c r="G23">
        <v>0.70281559999999998</v>
      </c>
      <c r="H23">
        <v>10.251010000000001</v>
      </c>
      <c r="I23">
        <v>22.373840000000001</v>
      </c>
      <c r="J23">
        <v>16.250769999999999</v>
      </c>
      <c r="K23">
        <v>1</v>
      </c>
      <c r="L23" t="s">
        <v>14</v>
      </c>
    </row>
    <row r="24" spans="1:12" x14ac:dyDescent="0.3">
      <c r="A24">
        <v>31</v>
      </c>
      <c r="B24">
        <v>1204.162</v>
      </c>
      <c r="C24">
        <v>1.315186</v>
      </c>
      <c r="D24">
        <v>1</v>
      </c>
      <c r="E24">
        <v>2.9045570000000001</v>
      </c>
      <c r="F24">
        <v>8.1793040000000001</v>
      </c>
      <c r="G24">
        <v>0.31869540000000002</v>
      </c>
      <c r="H24">
        <v>1.049936</v>
      </c>
      <c r="I24">
        <v>14.204420000000001</v>
      </c>
      <c r="J24">
        <v>5.6438490000000003</v>
      </c>
      <c r="K24">
        <v>0</v>
      </c>
      <c r="L24" t="s">
        <v>12</v>
      </c>
    </row>
    <row r="25" spans="1:12" x14ac:dyDescent="0.3">
      <c r="A25">
        <v>31</v>
      </c>
      <c r="B25">
        <v>1207.3520000000001</v>
      </c>
      <c r="C25">
        <v>0.95898439999999996</v>
      </c>
      <c r="D25">
        <v>1</v>
      </c>
      <c r="E25">
        <v>5.0697650000000003</v>
      </c>
      <c r="F25">
        <v>11.19284</v>
      </c>
      <c r="G25">
        <v>0.25080590000000003</v>
      </c>
      <c r="H25">
        <v>3.260535</v>
      </c>
      <c r="I25">
        <v>9.9648420000000009</v>
      </c>
      <c r="J25">
        <v>3.548022</v>
      </c>
      <c r="K25">
        <v>0</v>
      </c>
      <c r="L25" t="s">
        <v>13</v>
      </c>
    </row>
    <row r="26" spans="1:12" x14ac:dyDescent="0.3">
      <c r="A26">
        <v>31</v>
      </c>
      <c r="B26">
        <v>1214.2840000000001</v>
      </c>
      <c r="C26">
        <v>1.158569</v>
      </c>
      <c r="D26">
        <v>1</v>
      </c>
      <c r="E26">
        <v>3.5584519999999999</v>
      </c>
      <c r="F26">
        <v>9.1300150000000002</v>
      </c>
      <c r="G26">
        <v>0.354327</v>
      </c>
      <c r="H26">
        <v>0.46332329999999999</v>
      </c>
      <c r="I26">
        <v>13.251609999999999</v>
      </c>
      <c r="J26">
        <v>5.5976860000000004</v>
      </c>
      <c r="K26">
        <v>0</v>
      </c>
      <c r="L26" t="s">
        <v>14</v>
      </c>
    </row>
    <row r="27" spans="1:12" x14ac:dyDescent="0.3">
      <c r="A27">
        <v>31</v>
      </c>
      <c r="B27">
        <v>1219.44</v>
      </c>
      <c r="C27">
        <v>1.703125</v>
      </c>
      <c r="D27">
        <v>1</v>
      </c>
      <c r="E27">
        <v>3.763118</v>
      </c>
      <c r="F27">
        <v>9.3721440000000005</v>
      </c>
      <c r="G27">
        <v>0.50507190000000002</v>
      </c>
      <c r="H27">
        <v>0.69904549999999999</v>
      </c>
      <c r="I27">
        <v>19.273029999999999</v>
      </c>
      <c r="J27">
        <v>8.8742490000000007</v>
      </c>
      <c r="K27">
        <v>0</v>
      </c>
      <c r="L27" t="s">
        <v>15</v>
      </c>
    </row>
    <row r="28" spans="1:12" x14ac:dyDescent="0.3">
      <c r="A28">
        <v>31</v>
      </c>
      <c r="B28">
        <v>1225.4269999999999</v>
      </c>
      <c r="C28">
        <v>1.4732670000000001</v>
      </c>
      <c r="D28">
        <v>1</v>
      </c>
      <c r="E28">
        <v>2.8988529999999999</v>
      </c>
      <c r="F28">
        <v>6.5569730000000002</v>
      </c>
      <c r="G28">
        <v>0.52392709999999998</v>
      </c>
      <c r="H28">
        <v>1.149016</v>
      </c>
      <c r="I28">
        <v>17.241990000000001</v>
      </c>
      <c r="J28">
        <v>8.6970100000000006</v>
      </c>
      <c r="K28">
        <v>0</v>
      </c>
      <c r="L28" t="s">
        <v>16</v>
      </c>
    </row>
    <row r="29" spans="1:12" x14ac:dyDescent="0.3">
      <c r="A29">
        <v>31</v>
      </c>
      <c r="B29">
        <v>1228.925</v>
      </c>
      <c r="C29">
        <v>2.0246580000000001</v>
      </c>
      <c r="D29">
        <v>0.99995659999999997</v>
      </c>
      <c r="E29">
        <v>7.9562140000000001</v>
      </c>
      <c r="F29">
        <v>21.594909999999999</v>
      </c>
      <c r="G29">
        <v>0.66138010000000003</v>
      </c>
      <c r="H29">
        <v>9.8899249999999999</v>
      </c>
      <c r="I29">
        <v>22.842669999999998</v>
      </c>
      <c r="J29">
        <v>14.90292</v>
      </c>
      <c r="K29">
        <v>1</v>
      </c>
      <c r="L29" t="s">
        <v>17</v>
      </c>
    </row>
    <row r="30" spans="1:12" x14ac:dyDescent="0.3">
      <c r="A30">
        <v>32</v>
      </c>
      <c r="B30">
        <v>1237.117</v>
      </c>
      <c r="C30">
        <v>1.3084720000000001</v>
      </c>
      <c r="D30">
        <v>1</v>
      </c>
      <c r="E30">
        <v>3.4291170000000002</v>
      </c>
      <c r="F30">
        <v>8.872052</v>
      </c>
      <c r="G30">
        <v>0.45064379999999998</v>
      </c>
      <c r="H30">
        <v>2.1512389999999999</v>
      </c>
      <c r="I30">
        <v>15.0738</v>
      </c>
      <c r="J30">
        <v>7.3599610000000002</v>
      </c>
      <c r="K30">
        <v>0</v>
      </c>
      <c r="L30" t="s">
        <v>12</v>
      </c>
    </row>
    <row r="31" spans="1:12" x14ac:dyDescent="0.3">
      <c r="A31">
        <v>32</v>
      </c>
      <c r="B31">
        <v>1241.268</v>
      </c>
      <c r="C31">
        <v>1.3474120000000001</v>
      </c>
      <c r="D31">
        <v>1</v>
      </c>
      <c r="E31">
        <v>3.8102800000000001</v>
      </c>
      <c r="F31">
        <v>10.07789</v>
      </c>
      <c r="G31">
        <v>0.37883610000000001</v>
      </c>
      <c r="H31">
        <v>2.0739109999999998</v>
      </c>
      <c r="I31">
        <v>14.745240000000001</v>
      </c>
      <c r="J31">
        <v>7.2060389999999996</v>
      </c>
      <c r="K31">
        <v>0</v>
      </c>
      <c r="L31" t="s">
        <v>13</v>
      </c>
    </row>
    <row r="32" spans="1:12" x14ac:dyDescent="0.3">
      <c r="A32">
        <v>32</v>
      </c>
      <c r="B32">
        <v>1246.847</v>
      </c>
      <c r="C32">
        <v>1.220947</v>
      </c>
      <c r="D32">
        <v>1</v>
      </c>
      <c r="E32">
        <v>3.8631720000000001</v>
      </c>
      <c r="F32">
        <v>9.5494660000000007</v>
      </c>
      <c r="G32">
        <v>0.40047929999999998</v>
      </c>
      <c r="H32">
        <v>1.589545</v>
      </c>
      <c r="I32">
        <v>14.563549999999999</v>
      </c>
      <c r="J32">
        <v>7.5198010000000002</v>
      </c>
      <c r="K32">
        <v>0</v>
      </c>
      <c r="L32" t="s">
        <v>14</v>
      </c>
    </row>
    <row r="33" spans="1:12" x14ac:dyDescent="0.3">
      <c r="A33">
        <v>32</v>
      </c>
      <c r="B33">
        <v>1254.7270000000001</v>
      </c>
      <c r="C33">
        <v>2.0842290000000001</v>
      </c>
      <c r="D33">
        <v>1</v>
      </c>
      <c r="E33">
        <v>2.5358269999999998</v>
      </c>
      <c r="F33">
        <v>5.3735020000000002</v>
      </c>
      <c r="G33">
        <v>0.82974669999999995</v>
      </c>
      <c r="H33">
        <v>2.6228769999999999</v>
      </c>
      <c r="I33">
        <v>26.427140000000001</v>
      </c>
      <c r="J33">
        <v>17.02975</v>
      </c>
      <c r="K33">
        <v>0</v>
      </c>
      <c r="L33" t="s">
        <v>15</v>
      </c>
    </row>
    <row r="34" spans="1:12" x14ac:dyDescent="0.3">
      <c r="A34">
        <v>32</v>
      </c>
      <c r="B34">
        <v>1261.925</v>
      </c>
      <c r="C34">
        <v>1.747803</v>
      </c>
      <c r="D34">
        <v>1</v>
      </c>
      <c r="E34">
        <v>3.7090809999999999</v>
      </c>
      <c r="F34">
        <v>8.0290529999999993</v>
      </c>
      <c r="G34">
        <v>0.82947649999999995</v>
      </c>
      <c r="H34">
        <v>1.770373</v>
      </c>
      <c r="I34">
        <v>21.712</v>
      </c>
      <c r="J34">
        <v>12.522130000000001</v>
      </c>
      <c r="K34">
        <v>0</v>
      </c>
      <c r="L34" t="s">
        <v>16</v>
      </c>
    </row>
    <row r="35" spans="1:12" x14ac:dyDescent="0.3">
      <c r="A35">
        <v>32</v>
      </c>
      <c r="B35">
        <v>1267.364</v>
      </c>
      <c r="C35">
        <v>2.0927730000000002</v>
      </c>
      <c r="D35">
        <v>1</v>
      </c>
      <c r="E35">
        <v>2.737914</v>
      </c>
      <c r="F35">
        <v>6.433192</v>
      </c>
      <c r="G35">
        <v>0.6039911</v>
      </c>
      <c r="H35">
        <v>1.45458</v>
      </c>
      <c r="I35">
        <v>25.961099999999998</v>
      </c>
      <c r="J35">
        <v>15.61256</v>
      </c>
      <c r="K35">
        <v>0</v>
      </c>
      <c r="L35" t="s">
        <v>17</v>
      </c>
    </row>
    <row r="36" spans="1:12" x14ac:dyDescent="0.3">
      <c r="A36">
        <v>32</v>
      </c>
      <c r="B36">
        <v>1273.8</v>
      </c>
      <c r="C36">
        <v>1.9667969999999999</v>
      </c>
      <c r="D36">
        <v>1</v>
      </c>
      <c r="E36">
        <v>2.9452189999999998</v>
      </c>
      <c r="F36">
        <v>7.4038519999999997</v>
      </c>
      <c r="G36">
        <v>0.52008779999999999</v>
      </c>
      <c r="H36">
        <v>1.2199869999999999</v>
      </c>
      <c r="I36">
        <v>23.469930000000002</v>
      </c>
      <c r="J36">
        <v>11.852880000000001</v>
      </c>
      <c r="K36">
        <v>0</v>
      </c>
      <c r="L36" t="s">
        <v>18</v>
      </c>
    </row>
    <row r="37" spans="1:12" x14ac:dyDescent="0.3">
      <c r="A37">
        <v>32</v>
      </c>
      <c r="B37">
        <v>1284.806</v>
      </c>
      <c r="C37">
        <v>2.3278810000000001</v>
      </c>
      <c r="D37">
        <v>0.99658579999999997</v>
      </c>
      <c r="E37">
        <v>3.8211900000000001</v>
      </c>
      <c r="F37">
        <v>5.0517130000000003</v>
      </c>
      <c r="G37">
        <v>0.93592140000000001</v>
      </c>
      <c r="H37">
        <v>9.855461</v>
      </c>
      <c r="I37">
        <v>27.98734</v>
      </c>
      <c r="J37">
        <v>15.01956</v>
      </c>
      <c r="K37">
        <v>0</v>
      </c>
      <c r="L37" t="s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0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14</v>
      </c>
      <c r="B2">
        <v>833.86350000000004</v>
      </c>
      <c r="C2">
        <v>1.231689</v>
      </c>
      <c r="D2">
        <v>1</v>
      </c>
      <c r="E2">
        <v>2.8489330000000002</v>
      </c>
      <c r="F2">
        <v>7.0783690000000004</v>
      </c>
      <c r="G2">
        <v>0.42904599999999998</v>
      </c>
      <c r="H2">
        <v>0.91937329999999995</v>
      </c>
      <c r="I2">
        <v>15.294409999999999</v>
      </c>
      <c r="J2">
        <v>8.6328180000000003</v>
      </c>
      <c r="K2">
        <v>0</v>
      </c>
      <c r="L2" t="s">
        <v>12</v>
      </c>
    </row>
    <row r="3" spans="1:12" x14ac:dyDescent="0.3">
      <c r="A3">
        <v>14</v>
      </c>
      <c r="B3">
        <v>836.42250000000001</v>
      </c>
      <c r="C3">
        <v>0.91394039999999999</v>
      </c>
      <c r="D3">
        <v>1</v>
      </c>
      <c r="E3">
        <v>6.2628649999999997</v>
      </c>
      <c r="F3">
        <v>19.980180000000001</v>
      </c>
      <c r="G3">
        <v>0.34108630000000001</v>
      </c>
      <c r="H3">
        <v>23.157080000000001</v>
      </c>
      <c r="I3">
        <v>8.4632559999999994</v>
      </c>
      <c r="J3">
        <v>4.5375509999999997</v>
      </c>
      <c r="K3">
        <v>0</v>
      </c>
      <c r="L3" t="s">
        <v>13</v>
      </c>
    </row>
    <row r="4" spans="1:12" x14ac:dyDescent="0.3">
      <c r="A4">
        <v>14</v>
      </c>
      <c r="B4">
        <v>842.86149999999998</v>
      </c>
      <c r="C4">
        <v>1.301758</v>
      </c>
      <c r="D4">
        <v>1</v>
      </c>
      <c r="E4">
        <v>3.9358170000000001</v>
      </c>
      <c r="F4">
        <v>9.733212</v>
      </c>
      <c r="G4">
        <v>0.45855990000000002</v>
      </c>
      <c r="H4">
        <v>2.0810110000000002</v>
      </c>
      <c r="I4">
        <v>15.36605</v>
      </c>
      <c r="J4">
        <v>8.0168180000000007</v>
      </c>
      <c r="K4">
        <v>0</v>
      </c>
      <c r="L4" t="s">
        <v>13</v>
      </c>
    </row>
    <row r="5" spans="1:12" x14ac:dyDescent="0.3">
      <c r="A5">
        <v>14</v>
      </c>
      <c r="B5">
        <v>847.88499999999999</v>
      </c>
      <c r="C5">
        <v>4.2089230000000004</v>
      </c>
      <c r="D5">
        <v>0.72402809999999995</v>
      </c>
      <c r="E5">
        <v>5.1799270000000002</v>
      </c>
      <c r="F5">
        <v>12.766489999999999</v>
      </c>
      <c r="G5">
        <v>0.66979750000000005</v>
      </c>
      <c r="H5">
        <v>10.27521</v>
      </c>
      <c r="I5">
        <v>54.369700000000002</v>
      </c>
      <c r="J5">
        <v>33.467750000000002</v>
      </c>
      <c r="K5">
        <v>1</v>
      </c>
      <c r="L5" t="s">
        <v>14</v>
      </c>
    </row>
    <row r="6" spans="1:12" x14ac:dyDescent="0.3">
      <c r="A6">
        <v>15</v>
      </c>
      <c r="B6">
        <v>859.76260000000002</v>
      </c>
      <c r="C6">
        <v>1.2058720000000001</v>
      </c>
      <c r="D6">
        <v>1</v>
      </c>
      <c r="E6">
        <v>3.1619419999999998</v>
      </c>
      <c r="F6">
        <v>8.0336700000000008</v>
      </c>
      <c r="G6">
        <v>0.44738689999999998</v>
      </c>
      <c r="H6">
        <v>2.9024200000000002</v>
      </c>
      <c r="I6">
        <v>14.56269</v>
      </c>
      <c r="J6">
        <v>7.7992410000000003</v>
      </c>
      <c r="K6">
        <v>0</v>
      </c>
      <c r="L6" t="s">
        <v>12</v>
      </c>
    </row>
    <row r="7" spans="1:12" x14ac:dyDescent="0.3">
      <c r="A7">
        <v>15</v>
      </c>
      <c r="B7">
        <v>864.36829999999998</v>
      </c>
      <c r="C7">
        <v>1.9991460000000001</v>
      </c>
      <c r="D7">
        <v>1</v>
      </c>
      <c r="E7">
        <v>4.0053289999999997</v>
      </c>
      <c r="F7">
        <v>10.826650000000001</v>
      </c>
      <c r="G7">
        <v>0.43476759999999998</v>
      </c>
      <c r="H7">
        <v>1.577294</v>
      </c>
      <c r="I7">
        <v>22.56701</v>
      </c>
      <c r="J7">
        <v>9.3981940000000002</v>
      </c>
      <c r="K7">
        <v>0</v>
      </c>
      <c r="L7" t="s">
        <v>13</v>
      </c>
    </row>
    <row r="8" spans="1:12" x14ac:dyDescent="0.3">
      <c r="A8">
        <v>15</v>
      </c>
      <c r="B8">
        <v>867.94659999999999</v>
      </c>
      <c r="C8">
        <v>0.66674800000000001</v>
      </c>
      <c r="D8">
        <v>1</v>
      </c>
      <c r="E8">
        <v>7.1730700000000001</v>
      </c>
      <c r="F8">
        <v>26.766749999999998</v>
      </c>
      <c r="G8">
        <v>0.33836060000000001</v>
      </c>
      <c r="H8">
        <v>25.400829999999999</v>
      </c>
      <c r="I8">
        <v>5.359686</v>
      </c>
      <c r="J8">
        <v>2.1987209999999999</v>
      </c>
      <c r="K8">
        <v>1</v>
      </c>
      <c r="L8" t="s">
        <v>14</v>
      </c>
    </row>
    <row r="9" spans="1:12" x14ac:dyDescent="0.3">
      <c r="A9">
        <v>16</v>
      </c>
      <c r="B9">
        <v>876.25639999999999</v>
      </c>
      <c r="C9">
        <v>2.2846679999999999</v>
      </c>
      <c r="D9">
        <v>1</v>
      </c>
      <c r="E9">
        <v>2.4081009999999998</v>
      </c>
      <c r="F9">
        <v>5.1003369999999997</v>
      </c>
      <c r="G9">
        <v>0.95713090000000001</v>
      </c>
      <c r="H9">
        <v>10.27033</v>
      </c>
      <c r="I9">
        <v>33.994480000000003</v>
      </c>
      <c r="J9">
        <v>23.459530000000001</v>
      </c>
      <c r="K9">
        <v>1</v>
      </c>
      <c r="L9" t="s">
        <v>12</v>
      </c>
    </row>
    <row r="10" spans="1:12" x14ac:dyDescent="0.3">
      <c r="A10">
        <v>17</v>
      </c>
      <c r="B10">
        <v>885.43240000000003</v>
      </c>
      <c r="C10">
        <v>0.10839840000000001</v>
      </c>
      <c r="D10">
        <v>0</v>
      </c>
      <c r="E10">
        <v>0.3636625</v>
      </c>
      <c r="F10">
        <v>0.35888360000000002</v>
      </c>
      <c r="G10">
        <v>0.71835179999999998</v>
      </c>
      <c r="H10">
        <v>35.58869</v>
      </c>
      <c r="I10">
        <v>2.0266329999999999</v>
      </c>
      <c r="J10">
        <v>2.0106630000000001</v>
      </c>
      <c r="K10">
        <v>1</v>
      </c>
      <c r="L10" t="s">
        <v>12</v>
      </c>
    </row>
    <row r="11" spans="1:12" x14ac:dyDescent="0.3">
      <c r="A11">
        <v>18</v>
      </c>
      <c r="B11">
        <v>896.05679999999995</v>
      </c>
      <c r="C11">
        <v>0.10424799999999999</v>
      </c>
      <c r="D11">
        <v>0</v>
      </c>
      <c r="E11">
        <v>12.091469999999999</v>
      </c>
      <c r="F11">
        <v>20.04251</v>
      </c>
      <c r="G11">
        <v>0.36850309999999997</v>
      </c>
      <c r="H11">
        <v>31.268920000000001</v>
      </c>
      <c r="I11">
        <v>0.60329120000000003</v>
      </c>
      <c r="J11">
        <v>0.57331900000000002</v>
      </c>
      <c r="K11">
        <v>0</v>
      </c>
      <c r="L11" t="s">
        <v>12</v>
      </c>
    </row>
    <row r="12" spans="1:12" x14ac:dyDescent="0.3">
      <c r="A12">
        <v>18</v>
      </c>
      <c r="B12">
        <v>898.67570000000001</v>
      </c>
      <c r="C12">
        <v>0.60772709999999996</v>
      </c>
      <c r="D12">
        <v>1</v>
      </c>
      <c r="E12">
        <v>5.6063850000000004</v>
      </c>
      <c r="F12">
        <v>14.50972</v>
      </c>
      <c r="G12">
        <v>0.42131619999999997</v>
      </c>
      <c r="H12">
        <v>28.728639999999999</v>
      </c>
      <c r="I12">
        <v>6.1822109999999997</v>
      </c>
      <c r="J12">
        <v>3.1915079999999998</v>
      </c>
      <c r="K12">
        <v>0</v>
      </c>
      <c r="L12" t="s">
        <v>12</v>
      </c>
    </row>
    <row r="13" spans="1:12" x14ac:dyDescent="0.3">
      <c r="A13">
        <v>18</v>
      </c>
      <c r="B13">
        <v>900.42499999999995</v>
      </c>
      <c r="C13">
        <v>0.95153810000000005</v>
      </c>
      <c r="D13">
        <v>0.99158550000000001</v>
      </c>
      <c r="E13">
        <v>7.2152320000000003</v>
      </c>
      <c r="F13">
        <v>17.662420000000001</v>
      </c>
      <c r="G13">
        <v>0.53303160000000005</v>
      </c>
      <c r="H13">
        <v>32.08616</v>
      </c>
      <c r="I13">
        <v>10.21269</v>
      </c>
      <c r="J13">
        <v>6.3943940000000001</v>
      </c>
      <c r="K13">
        <v>0</v>
      </c>
      <c r="L13" t="s">
        <v>12</v>
      </c>
    </row>
    <row r="14" spans="1:12" x14ac:dyDescent="0.3">
      <c r="A14">
        <v>18</v>
      </c>
      <c r="B14">
        <v>910.5172</v>
      </c>
      <c r="C14">
        <v>1.4281619999999999</v>
      </c>
      <c r="D14">
        <v>1</v>
      </c>
      <c r="E14">
        <v>2.5907749999999998</v>
      </c>
      <c r="F14">
        <v>6.0146069999999998</v>
      </c>
      <c r="G14">
        <v>0.54431269999999998</v>
      </c>
      <c r="H14">
        <v>3.7253569999999998</v>
      </c>
      <c r="I14">
        <v>18.95288</v>
      </c>
      <c r="J14">
        <v>11.637230000000001</v>
      </c>
      <c r="K14">
        <v>0</v>
      </c>
      <c r="L14" t="s">
        <v>12</v>
      </c>
    </row>
    <row r="15" spans="1:12" x14ac:dyDescent="0.3">
      <c r="A15">
        <v>19</v>
      </c>
      <c r="B15">
        <v>923.4991</v>
      </c>
      <c r="C15">
        <v>1.1555789999999999</v>
      </c>
      <c r="D15">
        <v>1</v>
      </c>
      <c r="E15">
        <v>3.6513779999999998</v>
      </c>
      <c r="F15">
        <v>8.8236760000000007</v>
      </c>
      <c r="G15">
        <v>0.42364069999999998</v>
      </c>
      <c r="H15">
        <v>0.65044210000000002</v>
      </c>
      <c r="I15">
        <v>14.069739999999999</v>
      </c>
      <c r="J15">
        <v>7.6759000000000004</v>
      </c>
      <c r="K15">
        <v>0</v>
      </c>
      <c r="L15" t="s">
        <v>12</v>
      </c>
    </row>
    <row r="16" spans="1:12" x14ac:dyDescent="0.3">
      <c r="A16">
        <v>19</v>
      </c>
      <c r="B16">
        <v>931.00890000000004</v>
      </c>
      <c r="C16">
        <v>2.1921390000000001</v>
      </c>
      <c r="D16">
        <v>1</v>
      </c>
      <c r="E16">
        <v>2.9409519999999998</v>
      </c>
      <c r="F16">
        <v>6.0688550000000001</v>
      </c>
      <c r="G16">
        <v>0.74677210000000005</v>
      </c>
      <c r="H16">
        <v>1.0387690000000001</v>
      </c>
      <c r="I16">
        <v>29.560449999999999</v>
      </c>
      <c r="J16">
        <v>18.598510000000001</v>
      </c>
      <c r="K16">
        <v>0</v>
      </c>
      <c r="L16" t="s">
        <v>13</v>
      </c>
    </row>
    <row r="17" spans="1:12" x14ac:dyDescent="0.3">
      <c r="A17">
        <v>19</v>
      </c>
      <c r="B17">
        <v>945.80759999999998</v>
      </c>
      <c r="C17">
        <v>1.5868530000000001</v>
      </c>
      <c r="D17">
        <v>1</v>
      </c>
      <c r="E17">
        <v>3.1744789999999998</v>
      </c>
      <c r="F17">
        <v>7.062011</v>
      </c>
      <c r="G17">
        <v>0.58794250000000003</v>
      </c>
      <c r="H17">
        <v>0.99540859999999998</v>
      </c>
      <c r="I17">
        <v>21.576709999999999</v>
      </c>
      <c r="J17">
        <v>13.551450000000001</v>
      </c>
      <c r="K17">
        <v>0</v>
      </c>
      <c r="L17" t="s">
        <v>14</v>
      </c>
    </row>
    <row r="18" spans="1:12" x14ac:dyDescent="0.3">
      <c r="A18">
        <v>19</v>
      </c>
      <c r="B18">
        <v>951.30909999999994</v>
      </c>
      <c r="C18">
        <v>3.1618040000000001</v>
      </c>
      <c r="D18">
        <v>0.97801959999999999</v>
      </c>
      <c r="E18">
        <v>5.554449</v>
      </c>
      <c r="F18">
        <v>14.12903</v>
      </c>
      <c r="G18">
        <v>0.84455999999999998</v>
      </c>
      <c r="H18">
        <v>9.8568040000000003</v>
      </c>
      <c r="I18">
        <v>34.987960000000001</v>
      </c>
      <c r="J18">
        <v>25.012260000000001</v>
      </c>
      <c r="K18">
        <v>1</v>
      </c>
      <c r="L18" t="s">
        <v>15</v>
      </c>
    </row>
    <row r="19" spans="1:12" x14ac:dyDescent="0.3">
      <c r="A19">
        <v>20</v>
      </c>
      <c r="B19">
        <v>966.09410000000003</v>
      </c>
      <c r="C19">
        <v>1.3789670000000001</v>
      </c>
      <c r="D19">
        <v>1</v>
      </c>
      <c r="E19">
        <v>3.2009989999999999</v>
      </c>
      <c r="F19">
        <v>7.4700059999999997</v>
      </c>
      <c r="G19">
        <v>0.46842410000000001</v>
      </c>
      <c r="H19">
        <v>1.939986</v>
      </c>
      <c r="I19">
        <v>17.99757</v>
      </c>
      <c r="J19">
        <v>10.888389999999999</v>
      </c>
      <c r="K19">
        <v>0</v>
      </c>
      <c r="L19" t="s">
        <v>12</v>
      </c>
    </row>
    <row r="20" spans="1:12" x14ac:dyDescent="0.3">
      <c r="A20">
        <v>20</v>
      </c>
      <c r="B20">
        <v>973.49689999999998</v>
      </c>
      <c r="C20">
        <v>2.3906860000000001</v>
      </c>
      <c r="D20">
        <v>1</v>
      </c>
      <c r="E20">
        <v>3.8142010000000002</v>
      </c>
      <c r="F20">
        <v>10.28581</v>
      </c>
      <c r="G20">
        <v>0.36523339999999999</v>
      </c>
      <c r="H20">
        <v>4.1142130000000003</v>
      </c>
      <c r="I20">
        <v>26.328330000000001</v>
      </c>
      <c r="J20">
        <v>11.972630000000001</v>
      </c>
      <c r="K20">
        <v>0</v>
      </c>
      <c r="L20" t="s">
        <v>13</v>
      </c>
    </row>
    <row r="21" spans="1:12" x14ac:dyDescent="0.3">
      <c r="A21">
        <v>20</v>
      </c>
      <c r="B21">
        <v>985.08979999999997</v>
      </c>
      <c r="C21">
        <v>1.2903439999999999</v>
      </c>
      <c r="D21">
        <v>1</v>
      </c>
      <c r="E21">
        <v>2.9283000000000001</v>
      </c>
      <c r="F21">
        <v>6.3897719999999998</v>
      </c>
      <c r="G21">
        <v>0.50436769999999997</v>
      </c>
      <c r="H21">
        <v>1.3614850000000001</v>
      </c>
      <c r="I21">
        <v>17.41461</v>
      </c>
      <c r="J21">
        <v>10.790430000000001</v>
      </c>
      <c r="K21">
        <v>0</v>
      </c>
      <c r="L21" t="s">
        <v>14</v>
      </c>
    </row>
    <row r="22" spans="1:12" x14ac:dyDescent="0.3">
      <c r="A22">
        <v>20</v>
      </c>
      <c r="B22">
        <v>989.96199999999999</v>
      </c>
      <c r="C22">
        <v>1.8930659999999999</v>
      </c>
      <c r="D22">
        <v>0.96253880000000003</v>
      </c>
      <c r="E22">
        <v>5.9342240000000004</v>
      </c>
      <c r="F22">
        <v>10.430009999999999</v>
      </c>
      <c r="G22">
        <v>1.0266630000000001</v>
      </c>
      <c r="H22">
        <v>10.644590000000001</v>
      </c>
      <c r="I22">
        <v>29.585730000000002</v>
      </c>
      <c r="J22">
        <v>21.318110000000001</v>
      </c>
      <c r="K22">
        <v>1</v>
      </c>
      <c r="L22" t="s">
        <v>15</v>
      </c>
    </row>
    <row r="23" spans="1:12" x14ac:dyDescent="0.3">
      <c r="A23">
        <v>21</v>
      </c>
      <c r="B23">
        <v>1002.658</v>
      </c>
      <c r="C23">
        <v>1.1443479999999999</v>
      </c>
      <c r="D23">
        <v>1</v>
      </c>
      <c r="E23">
        <v>3.0699130000000001</v>
      </c>
      <c r="F23">
        <v>7.6992770000000004</v>
      </c>
      <c r="G23">
        <v>0.42495430000000001</v>
      </c>
      <c r="H23">
        <v>1.345688</v>
      </c>
      <c r="I23">
        <v>13.95546</v>
      </c>
      <c r="J23">
        <v>7.6296980000000003</v>
      </c>
      <c r="K23">
        <v>0</v>
      </c>
      <c r="L23" t="s">
        <v>12</v>
      </c>
    </row>
    <row r="24" spans="1:12" x14ac:dyDescent="0.3">
      <c r="A24">
        <v>21</v>
      </c>
      <c r="B24">
        <v>1007.498</v>
      </c>
      <c r="C24">
        <v>0.90594479999999999</v>
      </c>
      <c r="D24">
        <v>1</v>
      </c>
      <c r="E24">
        <v>4.8853350000000004</v>
      </c>
      <c r="F24">
        <v>11.286659999999999</v>
      </c>
      <c r="G24">
        <v>0.3903356</v>
      </c>
      <c r="H24">
        <v>2.829288</v>
      </c>
      <c r="I24">
        <v>10.82104</v>
      </c>
      <c r="J24">
        <v>5.5986060000000002</v>
      </c>
      <c r="K24">
        <v>0</v>
      </c>
      <c r="L24" t="s">
        <v>13</v>
      </c>
    </row>
    <row r="25" spans="1:12" x14ac:dyDescent="0.3">
      <c r="A25">
        <v>21</v>
      </c>
      <c r="B25">
        <v>1015.804</v>
      </c>
      <c r="C25">
        <v>1.431519</v>
      </c>
      <c r="D25">
        <v>1</v>
      </c>
      <c r="E25">
        <v>2.8225419999999999</v>
      </c>
      <c r="F25">
        <v>6.4410869999999996</v>
      </c>
      <c r="G25">
        <v>0.46619579999999999</v>
      </c>
      <c r="H25">
        <v>1.9003350000000001</v>
      </c>
      <c r="I25">
        <v>19.281189999999999</v>
      </c>
      <c r="J25">
        <v>11.98535</v>
      </c>
      <c r="K25">
        <v>0</v>
      </c>
      <c r="L25" t="s">
        <v>14</v>
      </c>
    </row>
    <row r="26" spans="1:12" x14ac:dyDescent="0.3">
      <c r="A26">
        <v>21</v>
      </c>
      <c r="B26">
        <v>1020.136</v>
      </c>
      <c r="C26">
        <v>1.4448240000000001</v>
      </c>
      <c r="D26">
        <v>1</v>
      </c>
      <c r="E26">
        <v>2.9656959999999999</v>
      </c>
      <c r="F26">
        <v>6.3690030000000002</v>
      </c>
      <c r="G26">
        <v>0.55977489999999996</v>
      </c>
      <c r="H26">
        <v>2.1743389999999998</v>
      </c>
      <c r="I26">
        <v>17.694520000000001</v>
      </c>
      <c r="J26">
        <v>9.7855749999999997</v>
      </c>
      <c r="K26">
        <v>0</v>
      </c>
      <c r="L26" t="s">
        <v>15</v>
      </c>
    </row>
    <row r="27" spans="1:12" x14ac:dyDescent="0.3">
      <c r="A27">
        <v>21</v>
      </c>
      <c r="B27">
        <v>1029.982</v>
      </c>
      <c r="C27">
        <v>1.486084</v>
      </c>
      <c r="D27">
        <v>1</v>
      </c>
      <c r="E27">
        <v>2.9048970000000001</v>
      </c>
      <c r="F27">
        <v>6.3504670000000001</v>
      </c>
      <c r="G27">
        <v>0.55304589999999998</v>
      </c>
      <c r="H27">
        <v>0.50517089999999998</v>
      </c>
      <c r="I27">
        <v>18.754650000000002</v>
      </c>
      <c r="J27">
        <v>10.801259999999999</v>
      </c>
      <c r="K27">
        <v>0</v>
      </c>
      <c r="L27" t="s">
        <v>16</v>
      </c>
    </row>
    <row r="28" spans="1:12" x14ac:dyDescent="0.3">
      <c r="A28">
        <v>21</v>
      </c>
      <c r="B28">
        <v>1034.335</v>
      </c>
      <c r="C28">
        <v>1.5557859999999999</v>
      </c>
      <c r="D28">
        <v>1</v>
      </c>
      <c r="E28">
        <v>3.2422879999999998</v>
      </c>
      <c r="F28">
        <v>7.4277170000000003</v>
      </c>
      <c r="G28">
        <v>0.60679050000000001</v>
      </c>
      <c r="H28">
        <v>2.1108370000000001</v>
      </c>
      <c r="I28">
        <v>19.643039999999999</v>
      </c>
      <c r="J28">
        <v>11.315060000000001</v>
      </c>
      <c r="K28">
        <v>0</v>
      </c>
      <c r="L28" t="s">
        <v>17</v>
      </c>
    </row>
    <row r="29" spans="1:12" x14ac:dyDescent="0.3">
      <c r="A29">
        <v>21</v>
      </c>
      <c r="B29">
        <v>1040.03</v>
      </c>
      <c r="C29">
        <v>1.8549800000000001</v>
      </c>
      <c r="D29">
        <v>1</v>
      </c>
      <c r="E29">
        <v>2.251538</v>
      </c>
      <c r="F29">
        <v>5.3131700000000004</v>
      </c>
      <c r="G29">
        <v>0.63156089999999998</v>
      </c>
      <c r="H29">
        <v>2.0579559999999999</v>
      </c>
      <c r="I29">
        <v>24.154630000000001</v>
      </c>
      <c r="J29">
        <v>14.413740000000001</v>
      </c>
      <c r="K29">
        <v>0</v>
      </c>
      <c r="L29" t="s">
        <v>18</v>
      </c>
    </row>
    <row r="30" spans="1:12" x14ac:dyDescent="0.3">
      <c r="A30">
        <v>21</v>
      </c>
      <c r="B30">
        <v>1047.309</v>
      </c>
      <c r="C30">
        <v>1.9543459999999999</v>
      </c>
      <c r="D30">
        <v>0.96789740000000002</v>
      </c>
      <c r="E30">
        <v>3.2803200000000001</v>
      </c>
      <c r="F30">
        <v>4.8431470000000001</v>
      </c>
      <c r="G30">
        <v>1.213147</v>
      </c>
      <c r="H30">
        <v>10.70589</v>
      </c>
      <c r="I30">
        <v>26.41516</v>
      </c>
      <c r="J30">
        <v>17.120480000000001</v>
      </c>
      <c r="K30">
        <v>0</v>
      </c>
      <c r="L30" t="s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7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</v>
      </c>
      <c r="B2">
        <v>347.19920000000002</v>
      </c>
      <c r="C2">
        <v>2.5348510000000002</v>
      </c>
      <c r="D2">
        <v>0.76379969999999997</v>
      </c>
      <c r="E2">
        <v>8.4647729999999992</v>
      </c>
      <c r="F2">
        <v>15.12994</v>
      </c>
      <c r="G2">
        <v>0.99125010000000002</v>
      </c>
      <c r="H2">
        <v>1.291782</v>
      </c>
      <c r="I2">
        <v>25.735690000000002</v>
      </c>
      <c r="J2">
        <v>17.967379999999999</v>
      </c>
      <c r="K2">
        <v>0</v>
      </c>
      <c r="L2" t="s">
        <v>12</v>
      </c>
    </row>
    <row r="3" spans="1:12" x14ac:dyDescent="0.3">
      <c r="A3">
        <v>2</v>
      </c>
      <c r="B3">
        <v>352.88810000000001</v>
      </c>
      <c r="C3">
        <v>0.98980710000000005</v>
      </c>
      <c r="D3">
        <v>1</v>
      </c>
      <c r="E3">
        <v>5.7781070000000003</v>
      </c>
      <c r="F3">
        <v>11.95689</v>
      </c>
      <c r="G3">
        <v>0.41595359999999998</v>
      </c>
      <c r="H3">
        <v>1.6459859999999999</v>
      </c>
      <c r="I3">
        <v>10.63139</v>
      </c>
      <c r="J3">
        <v>4.9501109999999997</v>
      </c>
      <c r="K3">
        <v>0</v>
      </c>
      <c r="L3" t="s">
        <v>13</v>
      </c>
    </row>
    <row r="4" spans="1:12" x14ac:dyDescent="0.3">
      <c r="A4">
        <v>2</v>
      </c>
      <c r="B4">
        <v>355.83760000000001</v>
      </c>
      <c r="C4">
        <v>1.0771790000000001</v>
      </c>
      <c r="D4">
        <v>1</v>
      </c>
      <c r="E4">
        <v>5.4213709999999997</v>
      </c>
      <c r="F4">
        <v>9.0944009999999995</v>
      </c>
      <c r="G4">
        <v>0.44259219999999999</v>
      </c>
      <c r="H4">
        <v>0.49093500000000001</v>
      </c>
      <c r="I4">
        <v>11.92244</v>
      </c>
      <c r="J4">
        <v>5.7442950000000002</v>
      </c>
      <c r="K4">
        <v>0</v>
      </c>
      <c r="L4" t="s">
        <v>14</v>
      </c>
    </row>
    <row r="5" spans="1:12" x14ac:dyDescent="0.3">
      <c r="A5">
        <v>2</v>
      </c>
      <c r="B5">
        <v>358.89120000000003</v>
      </c>
      <c r="C5">
        <v>1.3865970000000001</v>
      </c>
      <c r="D5">
        <v>1</v>
      </c>
      <c r="E5">
        <v>3.760211</v>
      </c>
      <c r="F5">
        <v>6.6604400000000004</v>
      </c>
      <c r="G5">
        <v>0.62391030000000003</v>
      </c>
      <c r="H5">
        <v>2.3247770000000001</v>
      </c>
      <c r="I5">
        <v>16.372209999999999</v>
      </c>
      <c r="J5">
        <v>8.5014000000000003</v>
      </c>
      <c r="K5">
        <v>0</v>
      </c>
      <c r="L5" t="s">
        <v>15</v>
      </c>
    </row>
    <row r="6" spans="1:12" x14ac:dyDescent="0.3">
      <c r="A6">
        <v>2</v>
      </c>
      <c r="B6">
        <v>362.39569999999998</v>
      </c>
      <c r="C6">
        <v>1.4630129999999999</v>
      </c>
      <c r="D6">
        <v>1</v>
      </c>
      <c r="E6">
        <v>7.9446339999999998</v>
      </c>
      <c r="F6">
        <v>14.9008</v>
      </c>
      <c r="G6">
        <v>0.84771969999999996</v>
      </c>
      <c r="H6">
        <v>9.3937950000000008</v>
      </c>
      <c r="I6">
        <v>17.594560000000001</v>
      </c>
      <c r="J6">
        <v>11.291499999999999</v>
      </c>
      <c r="K6">
        <v>1</v>
      </c>
      <c r="L6" t="s">
        <v>16</v>
      </c>
    </row>
    <row r="7" spans="1:12" x14ac:dyDescent="0.3">
      <c r="A7">
        <v>3</v>
      </c>
      <c r="B7">
        <v>371.27940000000001</v>
      </c>
      <c r="C7">
        <v>1.4915160000000001</v>
      </c>
      <c r="D7">
        <v>0.99699769999999999</v>
      </c>
      <c r="E7">
        <v>4.7724580000000003</v>
      </c>
      <c r="F7">
        <v>10.9704</v>
      </c>
      <c r="G7">
        <v>0.60132410000000003</v>
      </c>
      <c r="H7">
        <v>1.8686590000000001</v>
      </c>
      <c r="I7">
        <v>14.356009999999999</v>
      </c>
      <c r="J7">
        <v>8.0370620000000006</v>
      </c>
      <c r="K7">
        <v>0</v>
      </c>
      <c r="L7" t="s">
        <v>12</v>
      </c>
    </row>
    <row r="8" spans="1:12" x14ac:dyDescent="0.3">
      <c r="A8">
        <v>3</v>
      </c>
      <c r="B8">
        <v>378.49599999999998</v>
      </c>
      <c r="C8">
        <v>1.068573</v>
      </c>
      <c r="D8">
        <v>1</v>
      </c>
      <c r="E8">
        <v>4.0876950000000001</v>
      </c>
      <c r="F8">
        <v>7.8751519999999999</v>
      </c>
      <c r="G8">
        <v>0.47600619999999999</v>
      </c>
      <c r="H8">
        <v>1.13829</v>
      </c>
      <c r="I8">
        <v>11.93843</v>
      </c>
      <c r="J8">
        <v>5.5302749999999996</v>
      </c>
      <c r="K8">
        <v>0</v>
      </c>
      <c r="L8" t="s">
        <v>13</v>
      </c>
    </row>
    <row r="9" spans="1:12" x14ac:dyDescent="0.3">
      <c r="A9">
        <v>3</v>
      </c>
      <c r="B9">
        <v>381.22730000000001</v>
      </c>
      <c r="C9">
        <v>1.4445190000000001</v>
      </c>
      <c r="D9">
        <v>1</v>
      </c>
      <c r="E9">
        <v>6.9295330000000002</v>
      </c>
      <c r="F9">
        <v>13.374969999999999</v>
      </c>
      <c r="G9">
        <v>0.78093210000000002</v>
      </c>
      <c r="H9">
        <v>9.3308979999999995</v>
      </c>
      <c r="I9">
        <v>18.133389999999999</v>
      </c>
      <c r="J9">
        <v>12.03195</v>
      </c>
      <c r="K9">
        <v>1</v>
      </c>
      <c r="L9" t="s">
        <v>14</v>
      </c>
    </row>
    <row r="10" spans="1:12" x14ac:dyDescent="0.3">
      <c r="A10">
        <v>4</v>
      </c>
      <c r="B10">
        <v>388.65570000000002</v>
      </c>
      <c r="C10">
        <v>1.2259519999999999</v>
      </c>
      <c r="D10">
        <v>1</v>
      </c>
      <c r="E10">
        <v>3.6346780000000001</v>
      </c>
      <c r="F10">
        <v>7.2516730000000003</v>
      </c>
      <c r="G10">
        <v>0.51242770000000004</v>
      </c>
      <c r="H10">
        <v>0.92259480000000005</v>
      </c>
      <c r="I10">
        <v>14.535360000000001</v>
      </c>
      <c r="J10">
        <v>7.6580399999999997</v>
      </c>
      <c r="K10">
        <v>0</v>
      </c>
      <c r="L10" t="s">
        <v>12</v>
      </c>
    </row>
    <row r="11" spans="1:12" x14ac:dyDescent="0.3">
      <c r="A11">
        <v>4</v>
      </c>
      <c r="B11">
        <v>393.83109999999999</v>
      </c>
      <c r="C11">
        <v>1.272095</v>
      </c>
      <c r="D11">
        <v>1</v>
      </c>
      <c r="E11">
        <v>4.5540390000000004</v>
      </c>
      <c r="F11">
        <v>8.7273150000000008</v>
      </c>
      <c r="G11">
        <v>0.51082110000000003</v>
      </c>
      <c r="H11">
        <v>0.12631419999999999</v>
      </c>
      <c r="I11">
        <v>14.610799999999999</v>
      </c>
      <c r="J11">
        <v>7.4341629999999999</v>
      </c>
      <c r="K11">
        <v>0</v>
      </c>
      <c r="L11" t="s">
        <v>13</v>
      </c>
    </row>
    <row r="12" spans="1:12" x14ac:dyDescent="0.3">
      <c r="A12">
        <v>4</v>
      </c>
      <c r="B12">
        <v>397.13060000000002</v>
      </c>
      <c r="C12">
        <v>1.4280090000000001</v>
      </c>
      <c r="D12">
        <v>1</v>
      </c>
      <c r="E12">
        <v>4.9474689999999999</v>
      </c>
      <c r="F12">
        <v>9.3600770000000004</v>
      </c>
      <c r="G12">
        <v>0.61975769999999997</v>
      </c>
      <c r="H12">
        <v>0.16532060000000001</v>
      </c>
      <c r="I12">
        <v>16.914280000000002</v>
      </c>
      <c r="J12">
        <v>9.6930990000000001</v>
      </c>
      <c r="K12">
        <v>0</v>
      </c>
      <c r="L12" t="s">
        <v>14</v>
      </c>
    </row>
    <row r="13" spans="1:12" x14ac:dyDescent="0.3">
      <c r="A13">
        <v>4</v>
      </c>
      <c r="B13">
        <v>401.25450000000001</v>
      </c>
      <c r="C13">
        <v>2.2591549999999998</v>
      </c>
      <c r="D13">
        <v>0.9475654</v>
      </c>
      <c r="E13">
        <v>3.9978889999999998</v>
      </c>
      <c r="F13">
        <v>6.1841429999999997</v>
      </c>
      <c r="G13">
        <v>0.84493180000000001</v>
      </c>
      <c r="H13">
        <v>1.8547210000000001</v>
      </c>
      <c r="I13">
        <v>29.091339999999999</v>
      </c>
      <c r="J13">
        <v>19.604679999999998</v>
      </c>
      <c r="K13">
        <v>0</v>
      </c>
      <c r="L13" t="s">
        <v>15</v>
      </c>
    </row>
    <row r="14" spans="1:12" x14ac:dyDescent="0.3">
      <c r="A14">
        <v>4</v>
      </c>
      <c r="B14">
        <v>406.46370000000002</v>
      </c>
      <c r="C14">
        <v>2.395905</v>
      </c>
      <c r="D14">
        <v>0.92446859999999997</v>
      </c>
      <c r="E14">
        <v>8.4809560000000008</v>
      </c>
      <c r="F14">
        <v>17.69293</v>
      </c>
      <c r="G14">
        <v>0.6881661</v>
      </c>
      <c r="H14">
        <v>0.4103174</v>
      </c>
      <c r="I14">
        <v>25.884440000000001</v>
      </c>
      <c r="J14">
        <v>16.676780000000001</v>
      </c>
      <c r="K14">
        <v>0</v>
      </c>
      <c r="L14" t="s">
        <v>16</v>
      </c>
    </row>
    <row r="15" spans="1:12" x14ac:dyDescent="0.3">
      <c r="A15">
        <v>4</v>
      </c>
      <c r="B15">
        <v>414.73829999999998</v>
      </c>
      <c r="C15">
        <v>2.935791</v>
      </c>
      <c r="D15">
        <v>1</v>
      </c>
      <c r="E15">
        <v>6.0100449999999999</v>
      </c>
      <c r="F15">
        <v>12.969989999999999</v>
      </c>
      <c r="G15">
        <v>0.93937079999999995</v>
      </c>
      <c r="H15">
        <v>2.8840659999999998</v>
      </c>
      <c r="I15">
        <v>30.11975</v>
      </c>
      <c r="J15">
        <v>18.208690000000001</v>
      </c>
      <c r="K15">
        <v>0</v>
      </c>
      <c r="L15" t="s">
        <v>17</v>
      </c>
    </row>
    <row r="16" spans="1:12" x14ac:dyDescent="0.3">
      <c r="A16">
        <v>4</v>
      </c>
      <c r="B16">
        <v>422.08879999999999</v>
      </c>
      <c r="C16">
        <v>2.8673709999999999</v>
      </c>
      <c r="D16">
        <v>0.92093069999999999</v>
      </c>
      <c r="E16">
        <v>6.1001349999999999</v>
      </c>
      <c r="F16">
        <v>11.81536</v>
      </c>
      <c r="G16">
        <v>0.88005339999999999</v>
      </c>
      <c r="H16">
        <v>1.8657919999999999</v>
      </c>
      <c r="I16">
        <v>34.075029999999998</v>
      </c>
      <c r="J16">
        <v>23.78284</v>
      </c>
      <c r="K16">
        <v>0</v>
      </c>
      <c r="L16" t="s">
        <v>18</v>
      </c>
    </row>
    <row r="17" spans="1:12" x14ac:dyDescent="0.3">
      <c r="A17">
        <v>4</v>
      </c>
      <c r="B17">
        <v>429.91680000000002</v>
      </c>
      <c r="C17">
        <v>1.922974</v>
      </c>
      <c r="D17">
        <v>0.98266509999999996</v>
      </c>
      <c r="E17">
        <v>4.6124799999999997</v>
      </c>
      <c r="F17">
        <v>5.1992459999999996</v>
      </c>
      <c r="G17">
        <v>1.008551</v>
      </c>
      <c r="H17">
        <v>10.51754</v>
      </c>
      <c r="I17">
        <v>23.95289</v>
      </c>
      <c r="J17">
        <v>14.0707</v>
      </c>
      <c r="K17">
        <v>0</v>
      </c>
      <c r="L17" t="s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0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29</v>
      </c>
      <c r="B2">
        <v>1704.03</v>
      </c>
      <c r="C2">
        <v>1.826538</v>
      </c>
      <c r="D2">
        <v>0.99096359999999994</v>
      </c>
      <c r="E2">
        <v>1.1471629999999999</v>
      </c>
      <c r="F2">
        <v>5.3884169999999996</v>
      </c>
      <c r="G2">
        <v>0.36802030000000002</v>
      </c>
      <c r="H2">
        <v>11.58117</v>
      </c>
      <c r="I2">
        <v>25.973089999999999</v>
      </c>
      <c r="J2">
        <v>17.150179999999999</v>
      </c>
      <c r="K2">
        <v>1</v>
      </c>
      <c r="L2" t="s">
        <v>12</v>
      </c>
    </row>
    <row r="3" spans="1:12" x14ac:dyDescent="0.3">
      <c r="A3">
        <v>30</v>
      </c>
      <c r="B3">
        <v>1720.13</v>
      </c>
      <c r="C3">
        <v>1.0621339999999999</v>
      </c>
      <c r="D3">
        <v>1</v>
      </c>
      <c r="E3">
        <v>1.728202</v>
      </c>
      <c r="F3">
        <v>8.8970789999999997</v>
      </c>
      <c r="G3">
        <v>0.2228426</v>
      </c>
      <c r="H3">
        <v>0.93244340000000003</v>
      </c>
      <c r="I3">
        <v>13.014329999999999</v>
      </c>
      <c r="J3">
        <v>7.4961599999999997</v>
      </c>
      <c r="K3">
        <v>0</v>
      </c>
      <c r="L3" t="s">
        <v>12</v>
      </c>
    </row>
    <row r="4" spans="1:12" x14ac:dyDescent="0.3">
      <c r="A4">
        <v>30</v>
      </c>
      <c r="B4">
        <v>1730.7809999999999</v>
      </c>
      <c r="C4">
        <v>1.8325199999999999</v>
      </c>
      <c r="D4">
        <v>1</v>
      </c>
      <c r="E4">
        <v>1.262173</v>
      </c>
      <c r="F4">
        <v>5.0538270000000001</v>
      </c>
      <c r="G4">
        <v>0.54381919999999995</v>
      </c>
      <c r="H4">
        <v>11.33001</v>
      </c>
      <c r="I4">
        <v>27.22231</v>
      </c>
      <c r="J4">
        <v>23.816179999999999</v>
      </c>
      <c r="K4">
        <v>1</v>
      </c>
      <c r="L4" t="s">
        <v>13</v>
      </c>
    </row>
    <row r="5" spans="1:12" x14ac:dyDescent="0.3">
      <c r="A5">
        <v>31</v>
      </c>
      <c r="B5">
        <v>1745.51</v>
      </c>
      <c r="C5">
        <v>0.97863770000000005</v>
      </c>
      <c r="D5">
        <v>1</v>
      </c>
      <c r="E5">
        <v>1.5271669999999999</v>
      </c>
      <c r="F5">
        <v>8.1738680000000006</v>
      </c>
      <c r="G5">
        <v>0.18940270000000001</v>
      </c>
      <c r="H5">
        <v>0.53283069999999999</v>
      </c>
      <c r="I5">
        <v>12.14429</v>
      </c>
      <c r="J5">
        <v>6.5145400000000002</v>
      </c>
      <c r="K5">
        <v>0</v>
      </c>
      <c r="L5" t="s">
        <v>12</v>
      </c>
    </row>
    <row r="6" spans="1:12" x14ac:dyDescent="0.3">
      <c r="A6">
        <v>31</v>
      </c>
      <c r="B6">
        <v>1752.154</v>
      </c>
      <c r="C6">
        <v>0.96423340000000002</v>
      </c>
      <c r="D6">
        <v>1</v>
      </c>
      <c r="E6">
        <v>2.3661650000000001</v>
      </c>
      <c r="F6">
        <v>9.4962680000000006</v>
      </c>
      <c r="G6">
        <v>0.24440919999999999</v>
      </c>
      <c r="H6">
        <v>4.1854709999999997</v>
      </c>
      <c r="I6">
        <v>11.96006</v>
      </c>
      <c r="J6">
        <v>6.4513059999999998</v>
      </c>
      <c r="K6">
        <v>0</v>
      </c>
      <c r="L6" t="s">
        <v>13</v>
      </c>
    </row>
    <row r="7" spans="1:12" x14ac:dyDescent="0.3">
      <c r="A7">
        <v>31</v>
      </c>
      <c r="B7">
        <v>1780.4970000000001</v>
      </c>
      <c r="C7">
        <v>1.0341800000000001</v>
      </c>
      <c r="D7">
        <v>1</v>
      </c>
      <c r="E7">
        <v>1.9008499999999999</v>
      </c>
      <c r="F7">
        <v>8.180472</v>
      </c>
      <c r="G7">
        <v>0.20901359999999999</v>
      </c>
      <c r="H7">
        <v>2.2115339999999999</v>
      </c>
      <c r="I7">
        <v>14.17422</v>
      </c>
      <c r="J7">
        <v>8.7128589999999999</v>
      </c>
      <c r="K7">
        <v>0</v>
      </c>
      <c r="L7" t="s">
        <v>14</v>
      </c>
    </row>
    <row r="8" spans="1:12" x14ac:dyDescent="0.3">
      <c r="A8">
        <v>32</v>
      </c>
      <c r="B8">
        <v>1788.06</v>
      </c>
      <c r="C8">
        <v>1.516357</v>
      </c>
      <c r="D8">
        <v>1</v>
      </c>
      <c r="E8">
        <v>2.1920660000000001</v>
      </c>
      <c r="F8">
        <v>15.360910000000001</v>
      </c>
      <c r="G8">
        <v>0.18629979999999999</v>
      </c>
      <c r="H8">
        <v>1.5483039999999999</v>
      </c>
      <c r="I8">
        <v>13.985010000000001</v>
      </c>
      <c r="J8">
        <v>7.607011</v>
      </c>
      <c r="K8">
        <v>0</v>
      </c>
      <c r="L8" t="s">
        <v>12</v>
      </c>
    </row>
    <row r="9" spans="1:12" x14ac:dyDescent="0.3">
      <c r="A9">
        <v>32</v>
      </c>
      <c r="B9">
        <v>1793.4939999999999</v>
      </c>
      <c r="C9">
        <v>1.232788</v>
      </c>
      <c r="D9">
        <v>1</v>
      </c>
      <c r="E9">
        <v>1.8473219999999999</v>
      </c>
      <c r="F9">
        <v>8.9002280000000003</v>
      </c>
      <c r="G9">
        <v>0.237984</v>
      </c>
      <c r="H9">
        <v>1.150949</v>
      </c>
      <c r="I9">
        <v>14.944240000000001</v>
      </c>
      <c r="J9">
        <v>7.9581770000000001</v>
      </c>
      <c r="K9">
        <v>0</v>
      </c>
      <c r="L9" t="s">
        <v>13</v>
      </c>
    </row>
    <row r="10" spans="1:12" x14ac:dyDescent="0.3">
      <c r="A10">
        <v>32</v>
      </c>
      <c r="B10">
        <v>1796.712</v>
      </c>
      <c r="C10">
        <v>1.773193</v>
      </c>
      <c r="D10">
        <v>1</v>
      </c>
      <c r="E10">
        <v>2.4021249999999998</v>
      </c>
      <c r="F10">
        <v>11.596399999999999</v>
      </c>
      <c r="G10">
        <v>0.34211730000000001</v>
      </c>
      <c r="H10">
        <v>11.009650000000001</v>
      </c>
      <c r="I10">
        <v>23.200140000000001</v>
      </c>
      <c r="J10">
        <v>13.415100000000001</v>
      </c>
      <c r="K10">
        <v>1</v>
      </c>
      <c r="L10" t="s">
        <v>14</v>
      </c>
    </row>
    <row r="11" spans="1:12" x14ac:dyDescent="0.3">
      <c r="A11">
        <v>33</v>
      </c>
      <c r="B11">
        <v>1804.308</v>
      </c>
      <c r="C11">
        <v>1.124023</v>
      </c>
      <c r="D11">
        <v>0.80676119999999996</v>
      </c>
      <c r="E11">
        <v>5.1292470000000003</v>
      </c>
      <c r="F11">
        <v>42.681159999999998</v>
      </c>
      <c r="G11">
        <v>0.3360802</v>
      </c>
      <c r="H11">
        <v>9.6125129999999999</v>
      </c>
      <c r="I11">
        <v>8.4123129999999993</v>
      </c>
      <c r="J11">
        <v>3.1056180000000002</v>
      </c>
      <c r="K11">
        <v>1</v>
      </c>
      <c r="L11" t="s">
        <v>12</v>
      </c>
    </row>
    <row r="12" spans="1:12" x14ac:dyDescent="0.3">
      <c r="A12">
        <v>34</v>
      </c>
      <c r="B12">
        <v>1815.346</v>
      </c>
      <c r="C12">
        <v>1.11792</v>
      </c>
      <c r="D12">
        <v>1</v>
      </c>
      <c r="E12">
        <v>1.510675</v>
      </c>
      <c r="F12">
        <v>7.4103240000000001</v>
      </c>
      <c r="G12">
        <v>0.21361459999999999</v>
      </c>
      <c r="H12">
        <v>1.169179</v>
      </c>
      <c r="I12">
        <v>14.0664</v>
      </c>
      <c r="J12">
        <v>7.8599360000000003</v>
      </c>
      <c r="K12">
        <v>0</v>
      </c>
      <c r="L12" t="s">
        <v>12</v>
      </c>
    </row>
    <row r="13" spans="1:12" x14ac:dyDescent="0.3">
      <c r="A13">
        <v>34</v>
      </c>
      <c r="B13">
        <v>1821.546</v>
      </c>
      <c r="C13">
        <v>1.2518309999999999</v>
      </c>
      <c r="D13">
        <v>1</v>
      </c>
      <c r="E13">
        <v>1.809795</v>
      </c>
      <c r="F13">
        <v>6.6086289999999996</v>
      </c>
      <c r="G13">
        <v>0.2993827</v>
      </c>
      <c r="H13">
        <v>1.486151</v>
      </c>
      <c r="I13">
        <v>16.978899999999999</v>
      </c>
      <c r="J13">
        <v>10.497030000000001</v>
      </c>
      <c r="K13">
        <v>0</v>
      </c>
      <c r="L13" t="s">
        <v>13</v>
      </c>
    </row>
    <row r="14" spans="1:12" x14ac:dyDescent="0.3">
      <c r="A14">
        <v>34</v>
      </c>
      <c r="B14">
        <v>1826.0309999999999</v>
      </c>
      <c r="C14">
        <v>1.1118159999999999</v>
      </c>
      <c r="D14">
        <v>1</v>
      </c>
      <c r="E14">
        <v>2.0768800000000001</v>
      </c>
      <c r="F14">
        <v>8.3933099999999996</v>
      </c>
      <c r="G14">
        <v>0.20639950000000001</v>
      </c>
      <c r="H14">
        <v>1.1999930000000001</v>
      </c>
      <c r="I14">
        <v>15.58902</v>
      </c>
      <c r="J14">
        <v>9.8031229999999994</v>
      </c>
      <c r="K14">
        <v>0</v>
      </c>
      <c r="L14" t="s">
        <v>14</v>
      </c>
    </row>
    <row r="15" spans="1:12" x14ac:dyDescent="0.3">
      <c r="A15">
        <v>34</v>
      </c>
      <c r="B15">
        <v>1830.473</v>
      </c>
      <c r="C15">
        <v>1.4150389999999999</v>
      </c>
      <c r="D15">
        <v>1</v>
      </c>
      <c r="E15">
        <v>1.5228200000000001</v>
      </c>
      <c r="F15">
        <v>6.2563579999999996</v>
      </c>
      <c r="G15">
        <v>0.3011161</v>
      </c>
      <c r="H15">
        <v>2.2859880000000001</v>
      </c>
      <c r="I15">
        <v>18.011859999999999</v>
      </c>
      <c r="J15">
        <v>10.362349999999999</v>
      </c>
      <c r="K15">
        <v>0</v>
      </c>
      <c r="L15" t="s">
        <v>15</v>
      </c>
    </row>
    <row r="16" spans="1:12" x14ac:dyDescent="0.3">
      <c r="A16">
        <v>34</v>
      </c>
      <c r="B16">
        <v>1848.838</v>
      </c>
      <c r="C16">
        <v>1.470459</v>
      </c>
      <c r="D16">
        <v>1</v>
      </c>
      <c r="E16">
        <v>1.5282880000000001</v>
      </c>
      <c r="F16">
        <v>6.0363110000000004</v>
      </c>
      <c r="G16">
        <v>0.34927069999999999</v>
      </c>
      <c r="H16">
        <v>1.250354</v>
      </c>
      <c r="I16">
        <v>18.988679999999999</v>
      </c>
      <c r="J16">
        <v>11.17745</v>
      </c>
      <c r="K16">
        <v>0</v>
      </c>
      <c r="L16" t="s">
        <v>16</v>
      </c>
    </row>
    <row r="17" spans="1:12" x14ac:dyDescent="0.3">
      <c r="A17">
        <v>34</v>
      </c>
      <c r="B17">
        <v>1854.325</v>
      </c>
      <c r="C17">
        <v>1.8847659999999999</v>
      </c>
      <c r="D17">
        <v>1</v>
      </c>
      <c r="E17">
        <v>1.4351529999999999</v>
      </c>
      <c r="F17">
        <v>4.7814139999999998</v>
      </c>
      <c r="G17">
        <v>0.56687129999999997</v>
      </c>
      <c r="H17">
        <v>9.5622679999999995</v>
      </c>
      <c r="I17">
        <v>30.015250000000002</v>
      </c>
      <c r="J17">
        <v>21.814720000000001</v>
      </c>
      <c r="K17">
        <v>1</v>
      </c>
      <c r="L17" t="s">
        <v>17</v>
      </c>
    </row>
    <row r="18" spans="1:12" x14ac:dyDescent="0.3">
      <c r="A18">
        <v>35</v>
      </c>
      <c r="B18">
        <v>1867.932</v>
      </c>
      <c r="C18">
        <v>1.1588130000000001</v>
      </c>
      <c r="D18">
        <v>1</v>
      </c>
      <c r="E18">
        <v>1.5090209999999999</v>
      </c>
      <c r="F18">
        <v>7.9231920000000002</v>
      </c>
      <c r="G18">
        <v>0.22072890000000001</v>
      </c>
      <c r="H18">
        <v>2.0971980000000001</v>
      </c>
      <c r="I18">
        <v>13.71285</v>
      </c>
      <c r="J18">
        <v>6.9288949999999998</v>
      </c>
      <c r="K18">
        <v>0</v>
      </c>
      <c r="L18" t="s">
        <v>12</v>
      </c>
    </row>
    <row r="19" spans="1:12" x14ac:dyDescent="0.3">
      <c r="A19">
        <v>35</v>
      </c>
      <c r="B19">
        <v>1872.184</v>
      </c>
      <c r="C19">
        <v>1.5957030000000001</v>
      </c>
      <c r="D19">
        <v>1</v>
      </c>
      <c r="E19">
        <v>1.8063689999999999</v>
      </c>
      <c r="F19">
        <v>6.3523820000000004</v>
      </c>
      <c r="G19">
        <v>0.36127930000000003</v>
      </c>
      <c r="H19">
        <v>2.8217650000000001</v>
      </c>
      <c r="I19">
        <v>23.033239999999999</v>
      </c>
      <c r="J19">
        <v>15.535740000000001</v>
      </c>
      <c r="K19">
        <v>0</v>
      </c>
      <c r="L19" t="s">
        <v>13</v>
      </c>
    </row>
    <row r="20" spans="1:12" x14ac:dyDescent="0.3">
      <c r="A20">
        <v>36</v>
      </c>
      <c r="B20">
        <v>1887.7529999999999</v>
      </c>
      <c r="C20">
        <v>0.93847659999999999</v>
      </c>
      <c r="D20">
        <v>1</v>
      </c>
      <c r="E20">
        <v>1.717465</v>
      </c>
      <c r="F20">
        <v>8.6863609999999998</v>
      </c>
      <c r="G20">
        <v>0.19249930000000001</v>
      </c>
      <c r="H20">
        <v>2.4635180000000001</v>
      </c>
      <c r="I20">
        <v>11.467739999999999</v>
      </c>
      <c r="J20">
        <v>5.9840650000000002</v>
      </c>
      <c r="K20">
        <v>0</v>
      </c>
      <c r="L20" t="s">
        <v>12</v>
      </c>
    </row>
    <row r="21" spans="1:12" x14ac:dyDescent="0.3">
      <c r="A21">
        <v>36</v>
      </c>
      <c r="B21">
        <v>1894.6969999999999</v>
      </c>
      <c r="C21">
        <v>0.98925779999999996</v>
      </c>
      <c r="D21">
        <v>1</v>
      </c>
      <c r="E21">
        <v>1.805166</v>
      </c>
      <c r="F21">
        <v>7.4711049999999997</v>
      </c>
      <c r="G21">
        <v>0.22554389999999999</v>
      </c>
      <c r="H21">
        <v>2.2709480000000002</v>
      </c>
      <c r="I21">
        <v>12.80584</v>
      </c>
      <c r="J21">
        <v>7.3029960000000003</v>
      </c>
      <c r="K21">
        <v>0</v>
      </c>
      <c r="L21" t="s">
        <v>13</v>
      </c>
    </row>
    <row r="22" spans="1:12" x14ac:dyDescent="0.3">
      <c r="A22">
        <v>36</v>
      </c>
      <c r="B22">
        <v>1898.0830000000001</v>
      </c>
      <c r="C22">
        <v>1.593018</v>
      </c>
      <c r="D22">
        <v>1</v>
      </c>
      <c r="E22">
        <v>2.4148649999999998</v>
      </c>
      <c r="F22">
        <v>11.31723</v>
      </c>
      <c r="G22">
        <v>0.35584860000000001</v>
      </c>
      <c r="H22">
        <v>10.34534</v>
      </c>
      <c r="I22">
        <v>20.69781</v>
      </c>
      <c r="J22">
        <v>12.785780000000001</v>
      </c>
      <c r="K22">
        <v>1</v>
      </c>
      <c r="L22" t="s">
        <v>14</v>
      </c>
    </row>
    <row r="23" spans="1:12" x14ac:dyDescent="0.3">
      <c r="A23">
        <v>37</v>
      </c>
      <c r="B23">
        <v>1906.77</v>
      </c>
      <c r="C23">
        <v>1.0687260000000001</v>
      </c>
      <c r="D23">
        <v>1</v>
      </c>
      <c r="E23">
        <v>1.5853809999999999</v>
      </c>
      <c r="F23">
        <v>7.6998170000000004</v>
      </c>
      <c r="G23">
        <v>0.2154076</v>
      </c>
      <c r="H23">
        <v>1.25116</v>
      </c>
      <c r="I23">
        <v>13.5893</v>
      </c>
      <c r="J23">
        <v>7.6434980000000001</v>
      </c>
      <c r="K23">
        <v>0</v>
      </c>
      <c r="L23" t="s">
        <v>12</v>
      </c>
    </row>
    <row r="24" spans="1:12" x14ac:dyDescent="0.3">
      <c r="A24">
        <v>37</v>
      </c>
      <c r="B24">
        <v>1911.2850000000001</v>
      </c>
      <c r="C24">
        <v>1.266235</v>
      </c>
      <c r="D24">
        <v>1</v>
      </c>
      <c r="E24">
        <v>1.5580229999999999</v>
      </c>
      <c r="F24">
        <v>6.4258059999999997</v>
      </c>
      <c r="G24">
        <v>0.25237789999999999</v>
      </c>
      <c r="H24">
        <v>0.61494649999999995</v>
      </c>
      <c r="I24">
        <v>17.21491</v>
      </c>
      <c r="J24">
        <v>10.66788</v>
      </c>
      <c r="K24">
        <v>0</v>
      </c>
      <c r="L24" t="s">
        <v>13</v>
      </c>
    </row>
    <row r="25" spans="1:12" x14ac:dyDescent="0.3">
      <c r="A25">
        <v>37</v>
      </c>
      <c r="B25">
        <v>1914.7270000000001</v>
      </c>
      <c r="C25">
        <v>1.1972659999999999</v>
      </c>
      <c r="D25">
        <v>1</v>
      </c>
      <c r="E25">
        <v>3.091259</v>
      </c>
      <c r="F25">
        <v>16.906880000000001</v>
      </c>
      <c r="G25">
        <v>0.20162720000000001</v>
      </c>
      <c r="H25">
        <v>2.455946</v>
      </c>
      <c r="I25">
        <v>13.1645</v>
      </c>
      <c r="J25">
        <v>6.1385290000000001</v>
      </c>
      <c r="K25">
        <v>0</v>
      </c>
      <c r="L25" t="s">
        <v>14</v>
      </c>
    </row>
    <row r="26" spans="1:12" x14ac:dyDescent="0.3">
      <c r="A26">
        <v>37</v>
      </c>
      <c r="B26">
        <v>1926.8979999999999</v>
      </c>
      <c r="C26">
        <v>1.4550780000000001</v>
      </c>
      <c r="D26">
        <v>1</v>
      </c>
      <c r="E26">
        <v>1.5852619999999999</v>
      </c>
      <c r="F26">
        <v>6.7038710000000004</v>
      </c>
      <c r="G26">
        <v>0.29044150000000002</v>
      </c>
      <c r="H26">
        <v>2.676437</v>
      </c>
      <c r="I26">
        <v>18.44463</v>
      </c>
      <c r="J26">
        <v>10.57002</v>
      </c>
      <c r="K26">
        <v>0</v>
      </c>
      <c r="L26" t="s">
        <v>15</v>
      </c>
    </row>
    <row r="27" spans="1:12" x14ac:dyDescent="0.3">
      <c r="A27">
        <v>37</v>
      </c>
      <c r="B27">
        <v>1934.027</v>
      </c>
      <c r="C27">
        <v>1.8322750000000001</v>
      </c>
      <c r="D27">
        <v>1</v>
      </c>
      <c r="E27">
        <v>2.421891</v>
      </c>
      <c r="F27">
        <v>11.1717</v>
      </c>
      <c r="G27">
        <v>0.28349410000000003</v>
      </c>
      <c r="H27">
        <v>0.90183310000000005</v>
      </c>
      <c r="I27">
        <v>21.462019999999999</v>
      </c>
      <c r="J27">
        <v>10.30899</v>
      </c>
      <c r="K27">
        <v>0</v>
      </c>
      <c r="L27" t="s">
        <v>16</v>
      </c>
    </row>
    <row r="28" spans="1:12" x14ac:dyDescent="0.3">
      <c r="A28">
        <v>37</v>
      </c>
      <c r="B28">
        <v>1941.7760000000001</v>
      </c>
      <c r="C28">
        <v>1.9177249999999999</v>
      </c>
      <c r="D28">
        <v>1</v>
      </c>
      <c r="E28">
        <v>1.3303160000000001</v>
      </c>
      <c r="F28">
        <v>5.1701490000000003</v>
      </c>
      <c r="G28">
        <v>0.37964219999999999</v>
      </c>
      <c r="H28">
        <v>1.925891</v>
      </c>
      <c r="I28">
        <v>26.75994</v>
      </c>
      <c r="J28">
        <v>17.379149999999999</v>
      </c>
      <c r="K28">
        <v>0</v>
      </c>
      <c r="L28" t="s">
        <v>17</v>
      </c>
    </row>
    <row r="29" spans="1:12" x14ac:dyDescent="0.3">
      <c r="A29">
        <v>37</v>
      </c>
      <c r="B29">
        <v>1948.0119999999999</v>
      </c>
      <c r="C29">
        <v>1.799561</v>
      </c>
      <c r="D29">
        <v>1</v>
      </c>
      <c r="E29">
        <v>1.1676299999999999</v>
      </c>
      <c r="F29">
        <v>5.1936600000000004</v>
      </c>
      <c r="G29">
        <v>0.32875199999999999</v>
      </c>
      <c r="H29">
        <v>1.856733</v>
      </c>
      <c r="I29">
        <v>24.73002</v>
      </c>
      <c r="J29">
        <v>15.75301</v>
      </c>
      <c r="K29">
        <v>0</v>
      </c>
      <c r="L29" t="s">
        <v>18</v>
      </c>
    </row>
    <row r="30" spans="1:12" x14ac:dyDescent="0.3">
      <c r="A30">
        <v>37</v>
      </c>
      <c r="B30">
        <v>1957.1579999999999</v>
      </c>
      <c r="C30">
        <v>1.672485</v>
      </c>
      <c r="D30">
        <v>0.96236710000000003</v>
      </c>
      <c r="E30">
        <v>1.9702599999999999</v>
      </c>
      <c r="F30">
        <v>5.5506789999999997</v>
      </c>
      <c r="G30">
        <v>0.4113327</v>
      </c>
      <c r="H30">
        <v>9.7663790000000006</v>
      </c>
      <c r="I30">
        <v>21.652460000000001</v>
      </c>
      <c r="J30">
        <v>13.120240000000001</v>
      </c>
      <c r="K30">
        <v>0</v>
      </c>
      <c r="L30" t="s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4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</v>
      </c>
      <c r="B2">
        <v>305.35329999999999</v>
      </c>
      <c r="C2">
        <v>1.4181820000000001</v>
      </c>
      <c r="D2">
        <v>1</v>
      </c>
      <c r="E2">
        <v>1.670347</v>
      </c>
      <c r="F2">
        <v>8.9124169999999996</v>
      </c>
      <c r="G2">
        <v>0.23792150000000001</v>
      </c>
      <c r="H2">
        <v>0.81804670000000002</v>
      </c>
      <c r="I2">
        <v>15.93052</v>
      </c>
      <c r="J2">
        <v>8.4636189999999996</v>
      </c>
      <c r="K2">
        <v>0</v>
      </c>
      <c r="L2" t="s">
        <v>12</v>
      </c>
    </row>
    <row r="3" spans="1:12" x14ac:dyDescent="0.3">
      <c r="A3">
        <v>2</v>
      </c>
      <c r="B3">
        <v>310.5591</v>
      </c>
      <c r="C3">
        <v>1.5383610000000001</v>
      </c>
      <c r="D3">
        <v>1</v>
      </c>
      <c r="E3">
        <v>1.580835</v>
      </c>
      <c r="F3">
        <v>6.4863090000000003</v>
      </c>
      <c r="G3">
        <v>0.30130220000000002</v>
      </c>
      <c r="H3">
        <v>1.8800209999999999</v>
      </c>
      <c r="I3">
        <v>18.76634</v>
      </c>
      <c r="J3">
        <v>9.9982810000000004</v>
      </c>
      <c r="K3">
        <v>0</v>
      </c>
      <c r="L3" t="s">
        <v>13</v>
      </c>
    </row>
    <row r="4" spans="1:12" x14ac:dyDescent="0.3">
      <c r="A4">
        <v>2</v>
      </c>
      <c r="B4">
        <v>314.06180000000001</v>
      </c>
      <c r="C4">
        <v>1.5607599999999999</v>
      </c>
      <c r="D4">
        <v>1</v>
      </c>
      <c r="E4">
        <v>2.5930629999999999</v>
      </c>
      <c r="F4">
        <v>13.847720000000001</v>
      </c>
      <c r="G4">
        <v>0.23064019999999999</v>
      </c>
      <c r="H4">
        <v>2.3205360000000002</v>
      </c>
      <c r="I4">
        <v>16.665749999999999</v>
      </c>
      <c r="J4">
        <v>5.5840630000000004</v>
      </c>
      <c r="K4">
        <v>0</v>
      </c>
      <c r="L4" t="s">
        <v>14</v>
      </c>
    </row>
    <row r="5" spans="1:12" x14ac:dyDescent="0.3">
      <c r="A5">
        <v>2</v>
      </c>
      <c r="B5">
        <v>319.29379999999998</v>
      </c>
      <c r="C5">
        <v>1.7326969999999999</v>
      </c>
      <c r="D5">
        <v>1</v>
      </c>
      <c r="E5">
        <v>3.1444999999999999</v>
      </c>
      <c r="F5">
        <v>14.139559999999999</v>
      </c>
      <c r="G5">
        <v>0.15731239999999999</v>
      </c>
      <c r="H5">
        <v>1.202259</v>
      </c>
      <c r="I5">
        <v>18.458390000000001</v>
      </c>
      <c r="J5">
        <v>5.5272490000000003</v>
      </c>
      <c r="K5">
        <v>0</v>
      </c>
      <c r="L5" t="s">
        <v>15</v>
      </c>
    </row>
    <row r="6" spans="1:12" x14ac:dyDescent="0.3">
      <c r="A6">
        <v>2</v>
      </c>
      <c r="B6">
        <v>324.8433</v>
      </c>
      <c r="C6">
        <v>1.5244139999999999</v>
      </c>
      <c r="D6">
        <v>1</v>
      </c>
      <c r="E6">
        <v>2.338679</v>
      </c>
      <c r="F6">
        <v>10.41756</v>
      </c>
      <c r="G6">
        <v>0.2276116</v>
      </c>
      <c r="H6">
        <v>1.2231099999999999</v>
      </c>
      <c r="I6">
        <v>16.612549999999999</v>
      </c>
      <c r="J6">
        <v>5.5587840000000002</v>
      </c>
      <c r="K6">
        <v>0</v>
      </c>
      <c r="L6" t="s">
        <v>16</v>
      </c>
    </row>
    <row r="7" spans="1:12" x14ac:dyDescent="0.3">
      <c r="A7">
        <v>2</v>
      </c>
      <c r="B7">
        <v>328.4117</v>
      </c>
      <c r="C7">
        <v>1.9284969999999999</v>
      </c>
      <c r="D7">
        <v>1</v>
      </c>
      <c r="E7">
        <v>2.1415890000000002</v>
      </c>
      <c r="F7">
        <v>11.57672</v>
      </c>
      <c r="G7">
        <v>0.17680609999999999</v>
      </c>
      <c r="H7">
        <v>0.71001029999999998</v>
      </c>
      <c r="I7">
        <v>20.534009999999999</v>
      </c>
      <c r="J7">
        <v>5.9935929999999997</v>
      </c>
      <c r="K7">
        <v>0</v>
      </c>
      <c r="L7" t="s">
        <v>17</v>
      </c>
    </row>
    <row r="8" spans="1:12" x14ac:dyDescent="0.3">
      <c r="A8">
        <v>2</v>
      </c>
      <c r="B8">
        <v>334.43099999999998</v>
      </c>
      <c r="C8">
        <v>1.8782650000000001</v>
      </c>
      <c r="D8">
        <v>1</v>
      </c>
      <c r="E8">
        <v>2.4290250000000002</v>
      </c>
      <c r="F8">
        <v>13.529949999999999</v>
      </c>
      <c r="G8">
        <v>0.16563439999999999</v>
      </c>
      <c r="H8">
        <v>0.99457189999999995</v>
      </c>
      <c r="I8">
        <v>20.107299999999999</v>
      </c>
      <c r="J8">
        <v>6.1636379999999997</v>
      </c>
      <c r="K8">
        <v>0</v>
      </c>
      <c r="L8" t="s">
        <v>18</v>
      </c>
    </row>
    <row r="9" spans="1:12" x14ac:dyDescent="0.3">
      <c r="A9">
        <v>2</v>
      </c>
      <c r="B9">
        <v>338.75720000000001</v>
      </c>
      <c r="C9">
        <v>1.9329829999999999</v>
      </c>
      <c r="D9">
        <v>0.49970369999999997</v>
      </c>
      <c r="E9">
        <v>2.5549919999999999</v>
      </c>
      <c r="F9">
        <v>5.6470200000000004</v>
      </c>
      <c r="G9">
        <v>0.62777660000000002</v>
      </c>
      <c r="H9">
        <v>23.71584</v>
      </c>
      <c r="I9">
        <v>28.50433</v>
      </c>
      <c r="J9">
        <v>21.31644</v>
      </c>
      <c r="K9">
        <v>1</v>
      </c>
      <c r="L9" t="s">
        <v>19</v>
      </c>
    </row>
    <row r="10" spans="1:12" x14ac:dyDescent="0.3">
      <c r="A10">
        <v>3</v>
      </c>
      <c r="B10">
        <v>346.0249</v>
      </c>
      <c r="C10">
        <v>2.0866699999999998</v>
      </c>
      <c r="D10">
        <v>0.94562389999999996</v>
      </c>
      <c r="E10">
        <v>1.5127919999999999</v>
      </c>
      <c r="F10">
        <v>6.632053</v>
      </c>
      <c r="G10">
        <v>0.44081389999999998</v>
      </c>
      <c r="H10">
        <v>10.14315</v>
      </c>
      <c r="I10">
        <v>29.881499999999999</v>
      </c>
      <c r="J10">
        <v>21.96969</v>
      </c>
      <c r="K10">
        <v>1</v>
      </c>
      <c r="L10" t="s">
        <v>12</v>
      </c>
    </row>
    <row r="11" spans="1:12" x14ac:dyDescent="0.3">
      <c r="A11">
        <v>4</v>
      </c>
      <c r="B11">
        <v>353.58870000000002</v>
      </c>
      <c r="C11">
        <v>1.4245000000000001</v>
      </c>
      <c r="D11">
        <v>1</v>
      </c>
      <c r="E11">
        <v>1.7093529999999999</v>
      </c>
      <c r="F11">
        <v>9.1920280000000005</v>
      </c>
      <c r="G11">
        <v>0.22153220000000001</v>
      </c>
      <c r="H11">
        <v>1.0783700000000001</v>
      </c>
      <c r="I11">
        <v>15.80663</v>
      </c>
      <c r="J11">
        <v>8.5319599999999998</v>
      </c>
      <c r="K11">
        <v>0</v>
      </c>
      <c r="L11" t="s">
        <v>12</v>
      </c>
    </row>
    <row r="12" spans="1:12" x14ac:dyDescent="0.3">
      <c r="A12">
        <v>4</v>
      </c>
      <c r="B12">
        <v>357.62610000000001</v>
      </c>
      <c r="C12">
        <v>1.3785400000000001</v>
      </c>
      <c r="D12">
        <v>1</v>
      </c>
      <c r="E12">
        <v>2.3661099999999999</v>
      </c>
      <c r="F12">
        <v>11.587759999999999</v>
      </c>
      <c r="G12">
        <v>0.180894</v>
      </c>
      <c r="H12">
        <v>0.4487254</v>
      </c>
      <c r="I12">
        <v>14.905900000000001</v>
      </c>
      <c r="J12">
        <v>4.8842140000000001</v>
      </c>
      <c r="K12">
        <v>0</v>
      </c>
      <c r="L12" t="s">
        <v>13</v>
      </c>
    </row>
    <row r="13" spans="1:12" x14ac:dyDescent="0.3">
      <c r="A13">
        <v>4</v>
      </c>
      <c r="B13">
        <v>360.95310000000001</v>
      </c>
      <c r="C13">
        <v>1.751862</v>
      </c>
      <c r="D13">
        <v>1</v>
      </c>
      <c r="E13">
        <v>2.0222639999999998</v>
      </c>
      <c r="F13">
        <v>10.39873</v>
      </c>
      <c r="G13">
        <v>0.22617219999999999</v>
      </c>
      <c r="H13">
        <v>1.8225800000000001</v>
      </c>
      <c r="I13">
        <v>19.6417</v>
      </c>
      <c r="J13">
        <v>8.1016820000000003</v>
      </c>
      <c r="K13">
        <v>0</v>
      </c>
      <c r="L13" t="s">
        <v>14</v>
      </c>
    </row>
    <row r="14" spans="1:12" x14ac:dyDescent="0.3">
      <c r="A14">
        <v>4</v>
      </c>
      <c r="B14">
        <v>364.12279999999998</v>
      </c>
      <c r="C14">
        <v>0.51818850000000005</v>
      </c>
      <c r="D14">
        <v>0.59127629999999998</v>
      </c>
      <c r="E14">
        <v>2.905573</v>
      </c>
      <c r="F14">
        <v>16.83821</v>
      </c>
      <c r="G14">
        <v>0.24745220000000001</v>
      </c>
      <c r="H14">
        <v>32.045229999999997</v>
      </c>
      <c r="I14">
        <v>5.5218639999999999</v>
      </c>
      <c r="J14">
        <v>4.9273759999999998</v>
      </c>
      <c r="K14">
        <v>1</v>
      </c>
      <c r="L14" t="s">
        <v>15</v>
      </c>
    </row>
    <row r="15" spans="1:12" x14ac:dyDescent="0.3">
      <c r="A15">
        <v>5</v>
      </c>
      <c r="B15">
        <v>370.303</v>
      </c>
      <c r="C15">
        <v>1.359467</v>
      </c>
      <c r="D15">
        <v>0.99197880000000005</v>
      </c>
      <c r="E15">
        <v>1.8153330000000001</v>
      </c>
      <c r="F15">
        <v>10.56986</v>
      </c>
      <c r="G15">
        <v>0.25493569999999999</v>
      </c>
      <c r="H15">
        <v>0.6665972</v>
      </c>
      <c r="I15">
        <v>13.911429999999999</v>
      </c>
      <c r="J15">
        <v>8.8186669999999996</v>
      </c>
      <c r="K15">
        <v>0</v>
      </c>
      <c r="L15" t="s">
        <v>12</v>
      </c>
    </row>
    <row r="16" spans="1:12" x14ac:dyDescent="0.3">
      <c r="A16">
        <v>5</v>
      </c>
      <c r="B16">
        <v>374.5258</v>
      </c>
      <c r="C16">
        <v>1.1799010000000001</v>
      </c>
      <c r="D16">
        <v>1</v>
      </c>
      <c r="E16">
        <v>1.5165200000000001</v>
      </c>
      <c r="F16">
        <v>7.2821499999999997</v>
      </c>
      <c r="G16">
        <v>0.2356713</v>
      </c>
      <c r="H16">
        <v>0.9092597</v>
      </c>
      <c r="I16">
        <v>13.952859999999999</v>
      </c>
      <c r="J16">
        <v>6.9726210000000002</v>
      </c>
      <c r="K16">
        <v>0</v>
      </c>
      <c r="L16" t="s">
        <v>13</v>
      </c>
    </row>
    <row r="17" spans="1:12" x14ac:dyDescent="0.3">
      <c r="A17">
        <v>5</v>
      </c>
      <c r="B17">
        <v>377.87880000000001</v>
      </c>
      <c r="C17">
        <v>1.5773619999999999</v>
      </c>
      <c r="D17">
        <v>1</v>
      </c>
      <c r="E17">
        <v>2.3480970000000001</v>
      </c>
      <c r="F17">
        <v>12.7187</v>
      </c>
      <c r="G17">
        <v>0.20191729999999999</v>
      </c>
      <c r="H17">
        <v>1.255525</v>
      </c>
      <c r="I17">
        <v>17.35407</v>
      </c>
      <c r="J17">
        <v>7.5576840000000001</v>
      </c>
      <c r="K17">
        <v>0</v>
      </c>
      <c r="L17" t="s">
        <v>14</v>
      </c>
    </row>
    <row r="18" spans="1:12" x14ac:dyDescent="0.3">
      <c r="A18">
        <v>5</v>
      </c>
      <c r="B18">
        <v>381.9357</v>
      </c>
      <c r="C18">
        <v>1.8722529999999999</v>
      </c>
      <c r="D18">
        <v>1</v>
      </c>
      <c r="E18">
        <v>2.3947889999999998</v>
      </c>
      <c r="F18">
        <v>11.087630000000001</v>
      </c>
      <c r="G18">
        <v>0.24478539999999999</v>
      </c>
      <c r="H18">
        <v>0.91879639999999996</v>
      </c>
      <c r="I18">
        <v>19.654859999999999</v>
      </c>
      <c r="J18">
        <v>8.0945409999999995</v>
      </c>
      <c r="K18">
        <v>0</v>
      </c>
      <c r="L18" t="s">
        <v>15</v>
      </c>
    </row>
    <row r="19" spans="1:12" x14ac:dyDescent="0.3">
      <c r="A19">
        <v>5</v>
      </c>
      <c r="B19">
        <v>390.00869999999998</v>
      </c>
      <c r="C19">
        <v>1.4991460000000001</v>
      </c>
      <c r="D19">
        <v>1</v>
      </c>
      <c r="E19">
        <v>1.4759119999999999</v>
      </c>
      <c r="F19">
        <v>5.8958279999999998</v>
      </c>
      <c r="G19">
        <v>0.27796609999999999</v>
      </c>
      <c r="H19">
        <v>1.1615930000000001</v>
      </c>
      <c r="I19">
        <v>19.525870000000001</v>
      </c>
      <c r="J19">
        <v>11.51291</v>
      </c>
      <c r="K19">
        <v>0</v>
      </c>
      <c r="L19" t="s">
        <v>16</v>
      </c>
    </row>
    <row r="20" spans="1:12" x14ac:dyDescent="0.3">
      <c r="A20">
        <v>5</v>
      </c>
      <c r="B20">
        <v>394.58499999999998</v>
      </c>
      <c r="C20">
        <v>2.2900700000000001</v>
      </c>
      <c r="D20">
        <v>1</v>
      </c>
      <c r="E20">
        <v>2.4765730000000001</v>
      </c>
      <c r="F20">
        <v>12.43895</v>
      </c>
      <c r="G20">
        <v>0.19504009999999999</v>
      </c>
      <c r="H20">
        <v>1.84588</v>
      </c>
      <c r="I20">
        <v>24.28997</v>
      </c>
      <c r="J20">
        <v>8.0884599999999995</v>
      </c>
      <c r="K20">
        <v>0</v>
      </c>
      <c r="L20" t="s">
        <v>17</v>
      </c>
    </row>
    <row r="21" spans="1:12" x14ac:dyDescent="0.3">
      <c r="A21">
        <v>5</v>
      </c>
      <c r="B21">
        <v>399.18459999999999</v>
      </c>
      <c r="C21">
        <v>1.5249630000000001</v>
      </c>
      <c r="D21">
        <v>1</v>
      </c>
      <c r="E21">
        <v>1.3726039999999999</v>
      </c>
      <c r="F21">
        <v>6.5485439999999997</v>
      </c>
      <c r="G21">
        <v>0.2667118</v>
      </c>
      <c r="H21">
        <v>2.0001910000000001</v>
      </c>
      <c r="I21">
        <v>19.074010000000001</v>
      </c>
      <c r="J21">
        <v>10.5322</v>
      </c>
      <c r="K21">
        <v>0</v>
      </c>
      <c r="L21" t="s">
        <v>18</v>
      </c>
    </row>
    <row r="22" spans="1:12" x14ac:dyDescent="0.3">
      <c r="A22">
        <v>5</v>
      </c>
      <c r="B22">
        <v>405.15219999999999</v>
      </c>
      <c r="C22">
        <v>0.23495479999999999</v>
      </c>
      <c r="D22">
        <v>0</v>
      </c>
      <c r="E22">
        <v>0.86243919999999996</v>
      </c>
      <c r="F22">
        <v>1.1357569999999999</v>
      </c>
      <c r="G22">
        <v>0.60493799999999998</v>
      </c>
      <c r="H22">
        <v>24.276900000000001</v>
      </c>
      <c r="I22">
        <v>5.3154620000000001</v>
      </c>
      <c r="J22">
        <v>4.7644320000000002</v>
      </c>
      <c r="K22">
        <v>1</v>
      </c>
      <c r="L22" t="s">
        <v>19</v>
      </c>
    </row>
    <row r="23" spans="1:12" x14ac:dyDescent="0.3">
      <c r="A23">
        <v>6</v>
      </c>
      <c r="B23">
        <v>414.44060000000002</v>
      </c>
      <c r="C23">
        <v>1.224121</v>
      </c>
      <c r="D23">
        <v>1</v>
      </c>
      <c r="E23">
        <v>1.885478</v>
      </c>
      <c r="F23">
        <v>9.5529609999999998</v>
      </c>
      <c r="G23">
        <v>0.2130232</v>
      </c>
      <c r="H23">
        <v>1.151605</v>
      </c>
      <c r="I23">
        <v>14.80283</v>
      </c>
      <c r="J23">
        <v>7.8487619999999998</v>
      </c>
      <c r="K23">
        <v>0</v>
      </c>
      <c r="L23" t="s">
        <v>12</v>
      </c>
    </row>
    <row r="24" spans="1:12" x14ac:dyDescent="0.3">
      <c r="A24">
        <v>6</v>
      </c>
      <c r="B24">
        <v>417.93419999999998</v>
      </c>
      <c r="C24">
        <v>1.4934080000000001</v>
      </c>
      <c r="D24">
        <v>1</v>
      </c>
      <c r="E24">
        <v>2.3964180000000002</v>
      </c>
      <c r="F24">
        <v>12.32197</v>
      </c>
      <c r="G24">
        <v>0.21305950000000001</v>
      </c>
      <c r="H24">
        <v>1.3124769999999999</v>
      </c>
      <c r="I24">
        <v>16.92004</v>
      </c>
      <c r="J24">
        <v>7.7334230000000002</v>
      </c>
      <c r="K24">
        <v>0</v>
      </c>
      <c r="L24" t="s">
        <v>13</v>
      </c>
    </row>
    <row r="25" spans="1:12" x14ac:dyDescent="0.3">
      <c r="A25">
        <v>6</v>
      </c>
      <c r="B25">
        <v>420.95119999999997</v>
      </c>
      <c r="C25">
        <v>1.147003</v>
      </c>
      <c r="D25">
        <v>1</v>
      </c>
      <c r="E25">
        <v>2.5321920000000002</v>
      </c>
      <c r="F25">
        <v>13.304309999999999</v>
      </c>
      <c r="G25">
        <v>0.11988699999999999</v>
      </c>
      <c r="H25">
        <v>1.046508</v>
      </c>
      <c r="I25">
        <v>12.75202</v>
      </c>
      <c r="J25">
        <v>4.8957940000000004</v>
      </c>
      <c r="K25">
        <v>0</v>
      </c>
      <c r="L25" t="s">
        <v>14</v>
      </c>
    </row>
    <row r="26" spans="1:12" x14ac:dyDescent="0.3">
      <c r="A26">
        <v>6</v>
      </c>
      <c r="B26">
        <v>424.12439999999998</v>
      </c>
      <c r="C26">
        <v>1.3925780000000001</v>
      </c>
      <c r="D26">
        <v>1</v>
      </c>
      <c r="E26">
        <v>1.65543</v>
      </c>
      <c r="F26">
        <v>6.4460100000000002</v>
      </c>
      <c r="G26">
        <v>0.47552709999999998</v>
      </c>
      <c r="H26">
        <v>9.7445430000000002</v>
      </c>
      <c r="I26">
        <v>20.545169999999999</v>
      </c>
      <c r="J26">
        <v>13.39667</v>
      </c>
      <c r="K26">
        <v>1</v>
      </c>
      <c r="L26" t="s">
        <v>15</v>
      </c>
    </row>
    <row r="27" spans="1:12" x14ac:dyDescent="0.3">
      <c r="A27">
        <v>7</v>
      </c>
      <c r="B27">
        <v>431.14409999999998</v>
      </c>
      <c r="C27">
        <v>1.265747</v>
      </c>
      <c r="D27">
        <v>1</v>
      </c>
      <c r="E27">
        <v>1.8914820000000001</v>
      </c>
      <c r="F27">
        <v>9.7351740000000007</v>
      </c>
      <c r="G27">
        <v>0.28289350000000002</v>
      </c>
      <c r="H27">
        <v>1.1245670000000001</v>
      </c>
      <c r="I27">
        <v>14.57202</v>
      </c>
      <c r="J27">
        <v>9.0243300000000009</v>
      </c>
      <c r="K27">
        <v>0</v>
      </c>
      <c r="L27" t="s">
        <v>12</v>
      </c>
    </row>
    <row r="28" spans="1:12" x14ac:dyDescent="0.3">
      <c r="A28">
        <v>7</v>
      </c>
      <c r="B28">
        <v>434.4579</v>
      </c>
      <c r="C28">
        <v>1.174072</v>
      </c>
      <c r="D28">
        <v>1</v>
      </c>
      <c r="E28">
        <v>2.3184260000000001</v>
      </c>
      <c r="F28">
        <v>12.538779999999999</v>
      </c>
      <c r="G28">
        <v>0.15734919999999999</v>
      </c>
      <c r="H28">
        <v>1.20326</v>
      </c>
      <c r="I28">
        <v>12.75813</v>
      </c>
      <c r="J28">
        <v>4.5748800000000003</v>
      </c>
      <c r="K28">
        <v>0</v>
      </c>
      <c r="L28" t="s">
        <v>13</v>
      </c>
    </row>
    <row r="29" spans="1:12" x14ac:dyDescent="0.3">
      <c r="A29">
        <v>7</v>
      </c>
      <c r="B29">
        <v>437.9384</v>
      </c>
      <c r="C29">
        <v>1.489655</v>
      </c>
      <c r="D29">
        <v>1</v>
      </c>
      <c r="E29">
        <v>1.6891449999999999</v>
      </c>
      <c r="F29">
        <v>8.6229089999999999</v>
      </c>
      <c r="G29">
        <v>0.32022010000000001</v>
      </c>
      <c r="H29">
        <v>1.4722980000000001</v>
      </c>
      <c r="I29">
        <v>17.238350000000001</v>
      </c>
      <c r="J29">
        <v>10.577</v>
      </c>
      <c r="K29">
        <v>0</v>
      </c>
      <c r="L29" t="s">
        <v>14</v>
      </c>
    </row>
    <row r="30" spans="1:12" x14ac:dyDescent="0.3">
      <c r="A30">
        <v>7</v>
      </c>
      <c r="B30">
        <v>442.42500000000001</v>
      </c>
      <c r="C30">
        <v>1.606903</v>
      </c>
      <c r="D30">
        <v>1</v>
      </c>
      <c r="E30">
        <v>2.2678889999999998</v>
      </c>
      <c r="F30">
        <v>10.032209999999999</v>
      </c>
      <c r="G30">
        <v>0.23735110000000001</v>
      </c>
      <c r="H30">
        <v>1.4673959999999999</v>
      </c>
      <c r="I30">
        <v>17.632729999999999</v>
      </c>
      <c r="J30">
        <v>6.1252719999999998</v>
      </c>
      <c r="K30">
        <v>0</v>
      </c>
      <c r="L30" t="s">
        <v>15</v>
      </c>
    </row>
    <row r="31" spans="1:12" x14ac:dyDescent="0.3">
      <c r="A31">
        <v>7</v>
      </c>
      <c r="B31">
        <v>448.3252</v>
      </c>
      <c r="C31">
        <v>1.7514339999999999</v>
      </c>
      <c r="D31">
        <v>1</v>
      </c>
      <c r="E31">
        <v>2.225098</v>
      </c>
      <c r="F31">
        <v>9.4090240000000005</v>
      </c>
      <c r="G31">
        <v>0.2572044</v>
      </c>
      <c r="H31">
        <v>1.5683769999999999</v>
      </c>
      <c r="I31">
        <v>19.628299999999999</v>
      </c>
      <c r="J31">
        <v>7.5402709999999997</v>
      </c>
      <c r="K31">
        <v>0</v>
      </c>
      <c r="L31" t="s">
        <v>16</v>
      </c>
    </row>
    <row r="32" spans="1:12" x14ac:dyDescent="0.3">
      <c r="A32">
        <v>7</v>
      </c>
      <c r="B32">
        <v>453.78590000000003</v>
      </c>
      <c r="C32">
        <v>2.2134399999999999</v>
      </c>
      <c r="D32">
        <v>1</v>
      </c>
      <c r="E32">
        <v>1.765582</v>
      </c>
      <c r="F32">
        <v>8.1531160000000007</v>
      </c>
      <c r="G32">
        <v>0.31114229999999998</v>
      </c>
      <c r="H32">
        <v>0.78927080000000005</v>
      </c>
      <c r="I32">
        <v>26.202919999999999</v>
      </c>
      <c r="J32">
        <v>12.95105</v>
      </c>
      <c r="K32">
        <v>0</v>
      </c>
      <c r="L32" t="s">
        <v>17</v>
      </c>
    </row>
    <row r="33" spans="1:12" x14ac:dyDescent="0.3">
      <c r="A33">
        <v>7</v>
      </c>
      <c r="B33">
        <v>459.09289999999999</v>
      </c>
      <c r="C33">
        <v>2.8521420000000002</v>
      </c>
      <c r="D33">
        <v>0.99912800000000002</v>
      </c>
      <c r="E33">
        <v>2.1528700000000001</v>
      </c>
      <c r="F33">
        <v>11.30964</v>
      </c>
      <c r="G33">
        <v>0.3314781</v>
      </c>
      <c r="H33">
        <v>1.7197549999999999</v>
      </c>
      <c r="I33">
        <v>33.122129999999999</v>
      </c>
      <c r="J33">
        <v>22.414490000000001</v>
      </c>
      <c r="K33">
        <v>0</v>
      </c>
      <c r="L33" t="s">
        <v>18</v>
      </c>
    </row>
    <row r="34" spans="1:12" x14ac:dyDescent="0.3">
      <c r="A34">
        <v>7</v>
      </c>
      <c r="B34">
        <v>468.58359999999999</v>
      </c>
      <c r="C34">
        <v>2.1110229999999999</v>
      </c>
      <c r="D34">
        <v>0.97366050000000004</v>
      </c>
      <c r="E34">
        <v>2.126649</v>
      </c>
      <c r="F34">
        <v>5.7778710000000002</v>
      </c>
      <c r="G34">
        <v>0.58472389999999996</v>
      </c>
      <c r="H34">
        <v>11.391920000000001</v>
      </c>
      <c r="I34">
        <v>27.6051</v>
      </c>
      <c r="J34">
        <v>16.986599999999999</v>
      </c>
      <c r="K34">
        <v>0</v>
      </c>
      <c r="L34" t="s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4</v>
      </c>
      <c r="B2">
        <v>258.8467</v>
      </c>
      <c r="C2">
        <v>0.7587585</v>
      </c>
      <c r="D2">
        <v>1</v>
      </c>
      <c r="E2">
        <v>4.6874929999999999</v>
      </c>
      <c r="F2">
        <v>14.032719999999999</v>
      </c>
      <c r="G2">
        <v>0.10913349999999999</v>
      </c>
      <c r="H2">
        <v>3.4173369999999998</v>
      </c>
      <c r="I2">
        <v>7.3488850000000001</v>
      </c>
      <c r="J2">
        <v>0.75795840000000003</v>
      </c>
      <c r="K2">
        <v>0</v>
      </c>
      <c r="L2" t="s">
        <v>12</v>
      </c>
    </row>
    <row r="3" spans="1:12" x14ac:dyDescent="0.3">
      <c r="A3">
        <v>4</v>
      </c>
      <c r="B3">
        <v>262.96640000000002</v>
      </c>
      <c r="C3">
        <v>0.61245729999999998</v>
      </c>
      <c r="D3">
        <v>1</v>
      </c>
      <c r="E3">
        <v>3.2984309999999999</v>
      </c>
      <c r="F3">
        <v>9.6509579999999993</v>
      </c>
      <c r="G3">
        <v>5.024634E-2</v>
      </c>
      <c r="H3">
        <v>3.32321</v>
      </c>
      <c r="I3">
        <v>5.8101320000000003</v>
      </c>
      <c r="J3">
        <v>0.43786330000000001</v>
      </c>
      <c r="K3">
        <v>0</v>
      </c>
      <c r="L3" t="s">
        <v>13</v>
      </c>
    </row>
    <row r="4" spans="1:12" x14ac:dyDescent="0.3">
      <c r="A4">
        <v>4</v>
      </c>
      <c r="B4">
        <v>265.66289999999998</v>
      </c>
      <c r="C4">
        <v>0.97869870000000003</v>
      </c>
      <c r="D4">
        <v>1</v>
      </c>
      <c r="E4">
        <v>5.8841850000000004</v>
      </c>
      <c r="F4">
        <v>16.675889999999999</v>
      </c>
      <c r="G4">
        <v>0.36901539999999999</v>
      </c>
      <c r="H4">
        <v>2.379759</v>
      </c>
      <c r="I4">
        <v>10.23282</v>
      </c>
      <c r="J4">
        <v>2.8174649999999999</v>
      </c>
      <c r="K4">
        <v>0</v>
      </c>
      <c r="L4" t="s">
        <v>14</v>
      </c>
    </row>
    <row r="5" spans="1:12" x14ac:dyDescent="0.3">
      <c r="A5">
        <v>4</v>
      </c>
      <c r="B5">
        <v>270.19009999999997</v>
      </c>
      <c r="C5">
        <v>1.8856809999999999</v>
      </c>
      <c r="D5">
        <v>0.99146469999999998</v>
      </c>
      <c r="E5">
        <v>9.062557</v>
      </c>
      <c r="F5">
        <v>32.17445</v>
      </c>
      <c r="G5">
        <v>0.35139340000000002</v>
      </c>
      <c r="H5">
        <v>3.6776909999999998</v>
      </c>
      <c r="I5">
        <v>14.92848</v>
      </c>
      <c r="J5">
        <v>4.7290580000000002</v>
      </c>
      <c r="K5">
        <v>0</v>
      </c>
      <c r="L5" t="s">
        <v>15</v>
      </c>
    </row>
    <row r="6" spans="1:12" x14ac:dyDescent="0.3">
      <c r="A6">
        <v>4</v>
      </c>
      <c r="B6">
        <v>275.83960000000002</v>
      </c>
      <c r="C6">
        <v>1.4199219999999999</v>
      </c>
      <c r="D6">
        <v>1</v>
      </c>
      <c r="E6">
        <v>4.015638</v>
      </c>
      <c r="F6">
        <v>11.652139999999999</v>
      </c>
      <c r="G6">
        <v>0.23028190000000001</v>
      </c>
      <c r="H6">
        <v>1.455919</v>
      </c>
      <c r="I6">
        <v>14.474320000000001</v>
      </c>
      <c r="J6">
        <v>3.6122179999999999</v>
      </c>
      <c r="K6">
        <v>0</v>
      </c>
      <c r="L6" t="s">
        <v>16</v>
      </c>
    </row>
    <row r="7" spans="1:12" x14ac:dyDescent="0.3">
      <c r="A7">
        <v>4</v>
      </c>
      <c r="B7">
        <v>280.11790000000002</v>
      </c>
      <c r="C7">
        <v>0.90267940000000002</v>
      </c>
      <c r="D7">
        <v>1</v>
      </c>
      <c r="E7">
        <v>2.6784490000000001</v>
      </c>
      <c r="F7">
        <v>5.7721150000000003</v>
      </c>
      <c r="G7">
        <v>0.1221949</v>
      </c>
      <c r="H7">
        <v>1.1000700000000001</v>
      </c>
      <c r="I7">
        <v>12.06485</v>
      </c>
      <c r="J7">
        <v>1.021236</v>
      </c>
      <c r="K7">
        <v>0</v>
      </c>
      <c r="L7" t="s">
        <v>17</v>
      </c>
    </row>
    <row r="8" spans="1:12" x14ac:dyDescent="0.3">
      <c r="A8">
        <v>4</v>
      </c>
      <c r="B8">
        <v>283.73989999999998</v>
      </c>
      <c r="C8">
        <v>1.944855</v>
      </c>
      <c r="D8">
        <v>1</v>
      </c>
      <c r="E8">
        <v>3.9028860000000001</v>
      </c>
      <c r="F8">
        <v>10.712719999999999</v>
      </c>
      <c r="G8">
        <v>0.50022180000000005</v>
      </c>
      <c r="H8">
        <v>1.2404710000000001</v>
      </c>
      <c r="I8">
        <v>20.766390000000001</v>
      </c>
      <c r="J8">
        <v>8.9953810000000001</v>
      </c>
      <c r="K8">
        <v>0</v>
      </c>
      <c r="L8" t="s">
        <v>18</v>
      </c>
    </row>
    <row r="9" spans="1:12" x14ac:dyDescent="0.3">
      <c r="A9">
        <v>4</v>
      </c>
      <c r="B9">
        <v>289.3236</v>
      </c>
      <c r="C9">
        <v>1.304535</v>
      </c>
      <c r="D9">
        <v>0.99420719999999996</v>
      </c>
      <c r="E9">
        <v>7.5850350000000004</v>
      </c>
      <c r="F9">
        <v>12.39786</v>
      </c>
      <c r="G9">
        <v>0.76901390000000003</v>
      </c>
      <c r="H9">
        <v>11.8606</v>
      </c>
      <c r="I9">
        <v>14.071440000000001</v>
      </c>
      <c r="J9">
        <v>7.1787080000000003</v>
      </c>
      <c r="K9">
        <v>0</v>
      </c>
      <c r="L9" t="s">
        <v>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7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4</v>
      </c>
      <c r="B2">
        <v>179.2491</v>
      </c>
      <c r="C2">
        <v>1.275833</v>
      </c>
      <c r="D2">
        <v>0.74896589999999996</v>
      </c>
      <c r="E2">
        <v>7.1058909999999997</v>
      </c>
      <c r="F2">
        <v>73.262860000000003</v>
      </c>
      <c r="G2">
        <v>0.23798359999999999</v>
      </c>
      <c r="H2">
        <v>25.689430000000002</v>
      </c>
      <c r="I2">
        <v>7.3713709999999999</v>
      </c>
      <c r="J2">
        <v>5.6265989999999997</v>
      </c>
      <c r="K2">
        <v>1</v>
      </c>
      <c r="L2" t="s">
        <v>12</v>
      </c>
    </row>
    <row r="3" spans="1:12" x14ac:dyDescent="0.3">
      <c r="A3">
        <v>5</v>
      </c>
      <c r="B3">
        <v>189.0849</v>
      </c>
      <c r="C3">
        <v>1.9866330000000001</v>
      </c>
      <c r="D3">
        <v>0</v>
      </c>
      <c r="E3">
        <v>2.015177</v>
      </c>
      <c r="F3">
        <v>12.23183</v>
      </c>
      <c r="G3">
        <v>0.37234149999999999</v>
      </c>
      <c r="H3">
        <v>135.87280000000001</v>
      </c>
      <c r="I3">
        <v>18.616589999999999</v>
      </c>
      <c r="J3">
        <v>14.417439999999999</v>
      </c>
      <c r="K3">
        <v>0</v>
      </c>
      <c r="L3" t="s">
        <v>12</v>
      </c>
    </row>
    <row r="4" spans="1:12" x14ac:dyDescent="0.3">
      <c r="A4">
        <v>5</v>
      </c>
      <c r="B4">
        <v>193.63669999999999</v>
      </c>
      <c r="C4">
        <v>2.4508359999999998</v>
      </c>
      <c r="D4">
        <v>0.27995360000000002</v>
      </c>
      <c r="E4">
        <v>1.7290620000000001</v>
      </c>
      <c r="F4">
        <v>5.1653159999999998</v>
      </c>
      <c r="G4">
        <v>0.69056249999999997</v>
      </c>
      <c r="H4">
        <v>127.02160000000001</v>
      </c>
      <c r="I4">
        <v>31.800750000000001</v>
      </c>
      <c r="J4">
        <v>28.794779999999999</v>
      </c>
      <c r="K4">
        <v>0</v>
      </c>
      <c r="L4" t="s">
        <v>12</v>
      </c>
    </row>
    <row r="5" spans="1:12" x14ac:dyDescent="0.3">
      <c r="A5">
        <v>5</v>
      </c>
      <c r="B5">
        <v>198.44730000000001</v>
      </c>
      <c r="C5">
        <v>1.7232670000000001</v>
      </c>
      <c r="D5">
        <v>0.22911119999999999</v>
      </c>
      <c r="E5">
        <v>1.4777119999999999</v>
      </c>
      <c r="F5">
        <v>9.1102849999999993</v>
      </c>
      <c r="G5">
        <v>0.215586</v>
      </c>
      <c r="H5">
        <v>135.0686</v>
      </c>
      <c r="I5">
        <v>16.54467</v>
      </c>
      <c r="J5">
        <v>11.234909999999999</v>
      </c>
      <c r="K5">
        <v>0</v>
      </c>
      <c r="L5" t="s">
        <v>12</v>
      </c>
    </row>
    <row r="6" spans="1:12" x14ac:dyDescent="0.3">
      <c r="A6">
        <v>5</v>
      </c>
      <c r="B6">
        <v>203.71510000000001</v>
      </c>
      <c r="C6">
        <v>1.650406</v>
      </c>
      <c r="D6">
        <v>0.46766049999999998</v>
      </c>
      <c r="E6">
        <v>2.377278</v>
      </c>
      <c r="F6">
        <v>13.17216</v>
      </c>
      <c r="G6">
        <v>0.33149060000000002</v>
      </c>
      <c r="H6">
        <v>125.8203</v>
      </c>
      <c r="I6">
        <v>17.325839999999999</v>
      </c>
      <c r="J6">
        <v>11.062200000000001</v>
      </c>
      <c r="K6">
        <v>0</v>
      </c>
      <c r="L6" t="s">
        <v>12</v>
      </c>
    </row>
    <row r="7" spans="1:12" x14ac:dyDescent="0.3">
      <c r="A7">
        <v>5</v>
      </c>
      <c r="B7">
        <v>207.9057</v>
      </c>
      <c r="C7">
        <v>1.615936</v>
      </c>
      <c r="D7">
        <v>1</v>
      </c>
      <c r="E7">
        <v>2.5102989999999998</v>
      </c>
      <c r="F7">
        <v>9.730893</v>
      </c>
      <c r="G7">
        <v>0.40391909999999998</v>
      </c>
      <c r="H7">
        <v>100.88079999999999</v>
      </c>
      <c r="I7">
        <v>22.185600000000001</v>
      </c>
      <c r="J7">
        <v>12.71902</v>
      </c>
      <c r="K7">
        <v>0</v>
      </c>
      <c r="L7" t="s">
        <v>12</v>
      </c>
    </row>
    <row r="8" spans="1:12" x14ac:dyDescent="0.3">
      <c r="A8">
        <v>5</v>
      </c>
      <c r="B8">
        <v>214.37899999999999</v>
      </c>
      <c r="C8">
        <v>1.4784390000000001</v>
      </c>
      <c r="D8">
        <v>0.97676589999999996</v>
      </c>
      <c r="E8">
        <v>1.4675260000000001</v>
      </c>
      <c r="F8">
        <v>7.6298269999999997</v>
      </c>
      <c r="G8">
        <v>0.23987720000000001</v>
      </c>
      <c r="H8">
        <v>86.298060000000007</v>
      </c>
      <c r="I8">
        <v>16.15662</v>
      </c>
      <c r="J8">
        <v>11.020099999999999</v>
      </c>
      <c r="K8">
        <v>0</v>
      </c>
      <c r="L8" t="s">
        <v>12</v>
      </c>
    </row>
    <row r="9" spans="1:12" x14ac:dyDescent="0.3">
      <c r="A9">
        <v>5</v>
      </c>
      <c r="B9">
        <v>220.85730000000001</v>
      </c>
      <c r="C9">
        <v>2.1837460000000002</v>
      </c>
      <c r="D9">
        <v>1</v>
      </c>
      <c r="E9">
        <v>2.471724</v>
      </c>
      <c r="F9">
        <v>9.5118100000000005</v>
      </c>
      <c r="G9">
        <v>0.28562609999999999</v>
      </c>
      <c r="H9">
        <v>50.461829999999999</v>
      </c>
      <c r="I9">
        <v>26.765419999999999</v>
      </c>
      <c r="J9">
        <v>13.65368</v>
      </c>
      <c r="K9">
        <v>0</v>
      </c>
      <c r="L9" t="s">
        <v>12</v>
      </c>
    </row>
    <row r="10" spans="1:12" x14ac:dyDescent="0.3">
      <c r="A10">
        <v>5</v>
      </c>
      <c r="B10">
        <v>226.32570000000001</v>
      </c>
      <c r="C10">
        <v>2.8655849999999998</v>
      </c>
      <c r="D10">
        <v>1</v>
      </c>
      <c r="E10">
        <v>2.2453910000000001</v>
      </c>
      <c r="F10">
        <v>9.6326809999999998</v>
      </c>
      <c r="G10">
        <v>0.48275669999999998</v>
      </c>
      <c r="H10">
        <v>38.104959999999998</v>
      </c>
      <c r="I10">
        <v>36.596919999999997</v>
      </c>
      <c r="J10">
        <v>20.76735</v>
      </c>
      <c r="K10">
        <v>0</v>
      </c>
      <c r="L10" t="s">
        <v>12</v>
      </c>
    </row>
    <row r="11" spans="1:12" x14ac:dyDescent="0.3">
      <c r="A11">
        <v>5</v>
      </c>
      <c r="B11">
        <v>232.9599</v>
      </c>
      <c r="C11">
        <v>1.20105</v>
      </c>
      <c r="D11">
        <v>1</v>
      </c>
      <c r="E11">
        <v>1.5669169999999999</v>
      </c>
      <c r="F11">
        <v>9.5008300000000006</v>
      </c>
      <c r="G11">
        <v>0.15482750000000001</v>
      </c>
      <c r="H11">
        <v>1.5082930000000001</v>
      </c>
      <c r="I11">
        <v>12.53424</v>
      </c>
      <c r="J11">
        <v>5.3126939999999996</v>
      </c>
      <c r="K11">
        <v>0</v>
      </c>
      <c r="L11" t="s">
        <v>12</v>
      </c>
    </row>
    <row r="12" spans="1:12" x14ac:dyDescent="0.3">
      <c r="A12">
        <v>5</v>
      </c>
      <c r="B12">
        <v>236.1927</v>
      </c>
      <c r="C12">
        <v>1.0711059999999999</v>
      </c>
      <c r="D12">
        <v>1</v>
      </c>
      <c r="E12">
        <v>2.4598070000000001</v>
      </c>
      <c r="F12">
        <v>12.954750000000001</v>
      </c>
      <c r="G12">
        <v>0.24874930000000001</v>
      </c>
      <c r="H12">
        <v>4.0191800000000004</v>
      </c>
      <c r="I12">
        <v>11.58249</v>
      </c>
      <c r="J12">
        <v>6.8869619999999996</v>
      </c>
      <c r="K12">
        <v>0</v>
      </c>
      <c r="L12" t="s">
        <v>13</v>
      </c>
    </row>
    <row r="13" spans="1:12" x14ac:dyDescent="0.3">
      <c r="A13">
        <v>5</v>
      </c>
      <c r="B13">
        <v>239.91909999999999</v>
      </c>
      <c r="C13">
        <v>1.2296450000000001</v>
      </c>
      <c r="D13">
        <v>1</v>
      </c>
      <c r="E13">
        <v>1.7219610000000001</v>
      </c>
      <c r="F13">
        <v>6.3674569999999999</v>
      </c>
      <c r="G13">
        <v>0.6420302</v>
      </c>
      <c r="H13">
        <v>9.2656530000000004</v>
      </c>
      <c r="I13">
        <v>18.659780000000001</v>
      </c>
      <c r="J13">
        <v>13.31589</v>
      </c>
      <c r="K13">
        <v>1</v>
      </c>
      <c r="L13" t="s">
        <v>14</v>
      </c>
    </row>
    <row r="14" spans="1:12" x14ac:dyDescent="0.3">
      <c r="A14">
        <v>6</v>
      </c>
      <c r="B14">
        <v>248.64009999999999</v>
      </c>
      <c r="C14">
        <v>0.93833920000000004</v>
      </c>
      <c r="D14">
        <v>1</v>
      </c>
      <c r="E14">
        <v>2.5922939999999999</v>
      </c>
      <c r="F14">
        <v>14.474349999999999</v>
      </c>
      <c r="G14">
        <v>0.1697584</v>
      </c>
      <c r="H14">
        <v>3.3061120000000002</v>
      </c>
      <c r="I14">
        <v>10.208460000000001</v>
      </c>
      <c r="J14">
        <v>3.5962770000000002</v>
      </c>
      <c r="K14">
        <v>0</v>
      </c>
      <c r="L14" t="s">
        <v>12</v>
      </c>
    </row>
    <row r="15" spans="1:12" x14ac:dyDescent="0.3">
      <c r="A15">
        <v>6</v>
      </c>
      <c r="B15">
        <v>252.23920000000001</v>
      </c>
      <c r="C15">
        <v>1.449875</v>
      </c>
      <c r="D15">
        <v>0.83879079999999995</v>
      </c>
      <c r="E15">
        <v>2.2740300000000002</v>
      </c>
      <c r="F15">
        <v>9.8402360000000009</v>
      </c>
      <c r="G15">
        <v>0.43799650000000001</v>
      </c>
      <c r="H15">
        <v>11.46462</v>
      </c>
      <c r="I15">
        <v>18.94979</v>
      </c>
      <c r="J15">
        <v>12.478899999999999</v>
      </c>
      <c r="K15">
        <v>1</v>
      </c>
      <c r="L15" t="s">
        <v>13</v>
      </c>
    </row>
    <row r="16" spans="1:12" x14ac:dyDescent="0.3">
      <c r="A16">
        <v>7</v>
      </c>
      <c r="B16">
        <v>259.09210000000002</v>
      </c>
      <c r="C16">
        <v>1.2211000000000001</v>
      </c>
      <c r="D16">
        <v>1</v>
      </c>
      <c r="E16">
        <v>1.8850750000000001</v>
      </c>
      <c r="F16">
        <v>9.6497539999999997</v>
      </c>
      <c r="G16">
        <v>0.22009770000000001</v>
      </c>
      <c r="H16">
        <v>0.6651243</v>
      </c>
      <c r="I16">
        <v>14.455870000000001</v>
      </c>
      <c r="J16">
        <v>7.7527540000000004</v>
      </c>
      <c r="K16">
        <v>0</v>
      </c>
      <c r="L16" t="s">
        <v>12</v>
      </c>
    </row>
    <row r="17" spans="1:12" x14ac:dyDescent="0.3">
      <c r="A17">
        <v>7</v>
      </c>
      <c r="B17">
        <v>262.5292</v>
      </c>
      <c r="C17">
        <v>1.3415220000000001</v>
      </c>
      <c r="D17">
        <v>1</v>
      </c>
      <c r="E17">
        <v>1.5416179999999999</v>
      </c>
      <c r="F17">
        <v>6.9424640000000002</v>
      </c>
      <c r="G17">
        <v>0.24039849999999999</v>
      </c>
      <c r="H17">
        <v>0.1794018</v>
      </c>
      <c r="I17">
        <v>16.21011</v>
      </c>
      <c r="J17">
        <v>8.4422499999999996</v>
      </c>
      <c r="K17">
        <v>0</v>
      </c>
      <c r="L17" t="s">
        <v>13</v>
      </c>
    </row>
    <row r="18" spans="1:12" x14ac:dyDescent="0.3">
      <c r="A18">
        <v>7</v>
      </c>
      <c r="B18">
        <v>265.8897</v>
      </c>
      <c r="C18">
        <v>1.16629</v>
      </c>
      <c r="D18">
        <v>1</v>
      </c>
      <c r="E18">
        <v>1.587852</v>
      </c>
      <c r="F18">
        <v>8.1866640000000004</v>
      </c>
      <c r="G18">
        <v>0.21131030000000001</v>
      </c>
      <c r="H18">
        <v>1.7433650000000001</v>
      </c>
      <c r="I18">
        <v>13.964829999999999</v>
      </c>
      <c r="J18">
        <v>6.9428000000000001</v>
      </c>
      <c r="K18">
        <v>0</v>
      </c>
      <c r="L18" t="s">
        <v>14</v>
      </c>
    </row>
    <row r="19" spans="1:12" x14ac:dyDescent="0.3">
      <c r="A19">
        <v>7</v>
      </c>
      <c r="B19">
        <v>269.37470000000002</v>
      </c>
      <c r="C19">
        <v>1.393311</v>
      </c>
      <c r="D19">
        <v>1</v>
      </c>
      <c r="E19">
        <v>2.4086020000000001</v>
      </c>
      <c r="F19">
        <v>11.111499999999999</v>
      </c>
      <c r="G19">
        <v>0.2385063</v>
      </c>
      <c r="H19">
        <v>3.2281230000000001</v>
      </c>
      <c r="I19">
        <v>16.2575</v>
      </c>
      <c r="J19">
        <v>7.738829</v>
      </c>
      <c r="K19">
        <v>0</v>
      </c>
      <c r="L19" t="s">
        <v>15</v>
      </c>
    </row>
    <row r="20" spans="1:12" x14ac:dyDescent="0.3">
      <c r="A20">
        <v>7</v>
      </c>
      <c r="B20">
        <v>275.54090000000002</v>
      </c>
      <c r="C20">
        <v>1.5874630000000001</v>
      </c>
      <c r="D20">
        <v>1</v>
      </c>
      <c r="E20">
        <v>1.5035590000000001</v>
      </c>
      <c r="F20">
        <v>7.2689139999999997</v>
      </c>
      <c r="G20">
        <v>0.22441539999999999</v>
      </c>
      <c r="H20">
        <v>0.91444919999999996</v>
      </c>
      <c r="I20">
        <v>19.23685</v>
      </c>
      <c r="J20">
        <v>10.255839999999999</v>
      </c>
      <c r="K20">
        <v>0</v>
      </c>
      <c r="L20" t="s">
        <v>16</v>
      </c>
    </row>
    <row r="21" spans="1:12" x14ac:dyDescent="0.3">
      <c r="A21">
        <v>7</v>
      </c>
      <c r="B21">
        <v>280.5247</v>
      </c>
      <c r="C21">
        <v>1.6052550000000001</v>
      </c>
      <c r="D21">
        <v>1</v>
      </c>
      <c r="E21">
        <v>3.595879</v>
      </c>
      <c r="F21">
        <v>15.03712</v>
      </c>
      <c r="G21">
        <v>0.30426839999999999</v>
      </c>
      <c r="H21">
        <v>3.6641729999999999</v>
      </c>
      <c r="I21">
        <v>19.60895</v>
      </c>
      <c r="J21">
        <v>10.616059999999999</v>
      </c>
      <c r="K21">
        <v>0</v>
      </c>
      <c r="L21" t="s">
        <v>17</v>
      </c>
    </row>
    <row r="22" spans="1:12" x14ac:dyDescent="0.3">
      <c r="A22">
        <v>7</v>
      </c>
      <c r="B22">
        <v>283.1397</v>
      </c>
      <c r="C22">
        <v>1.0257259999999999</v>
      </c>
      <c r="D22">
        <v>0.71655639999999998</v>
      </c>
      <c r="E22">
        <v>3.7851089999999998</v>
      </c>
      <c r="F22">
        <v>18.117730000000002</v>
      </c>
      <c r="G22">
        <v>0.30435069999999997</v>
      </c>
      <c r="H22">
        <v>10.05484</v>
      </c>
      <c r="I22">
        <v>10.863709999999999</v>
      </c>
      <c r="J22">
        <v>5.8986520000000002</v>
      </c>
      <c r="K22">
        <v>1</v>
      </c>
      <c r="L22" t="s">
        <v>17</v>
      </c>
    </row>
    <row r="23" spans="1:12" x14ac:dyDescent="0.3">
      <c r="A23">
        <v>8</v>
      </c>
      <c r="B23">
        <v>289.98750000000001</v>
      </c>
      <c r="C23">
        <v>2.2907410000000001</v>
      </c>
      <c r="D23">
        <v>0.92011880000000001</v>
      </c>
      <c r="E23">
        <v>1.9121429999999999</v>
      </c>
      <c r="F23">
        <v>12.22973</v>
      </c>
      <c r="G23">
        <v>0.2078652</v>
      </c>
      <c r="H23">
        <v>2.7043590000000002</v>
      </c>
      <c r="I23">
        <v>23.765509999999999</v>
      </c>
      <c r="J23">
        <v>14.14927</v>
      </c>
      <c r="K23">
        <v>0</v>
      </c>
      <c r="L23" t="s">
        <v>12</v>
      </c>
    </row>
    <row r="24" spans="1:12" x14ac:dyDescent="0.3">
      <c r="A24">
        <v>8</v>
      </c>
      <c r="B24">
        <v>295.63420000000002</v>
      </c>
      <c r="C24">
        <v>1.2927249999999999</v>
      </c>
      <c r="D24">
        <v>1</v>
      </c>
      <c r="E24">
        <v>1.65144</v>
      </c>
      <c r="F24">
        <v>7.0575070000000002</v>
      </c>
      <c r="G24">
        <v>0.2703024</v>
      </c>
      <c r="H24">
        <v>1.37317</v>
      </c>
      <c r="I24">
        <v>14.975849999999999</v>
      </c>
      <c r="J24">
        <v>7.1402619999999999</v>
      </c>
      <c r="K24">
        <v>0</v>
      </c>
      <c r="L24" t="s">
        <v>13</v>
      </c>
    </row>
    <row r="25" spans="1:12" x14ac:dyDescent="0.3">
      <c r="A25">
        <v>8</v>
      </c>
      <c r="B25">
        <v>298.88339999999999</v>
      </c>
      <c r="C25">
        <v>1.3673709999999999</v>
      </c>
      <c r="D25">
        <v>1</v>
      </c>
      <c r="E25">
        <v>1.4620359999999999</v>
      </c>
      <c r="F25">
        <v>7.2031200000000002</v>
      </c>
      <c r="G25">
        <v>0.23708409999999999</v>
      </c>
      <c r="H25">
        <v>1.4437960000000001</v>
      </c>
      <c r="I25">
        <v>16.44078</v>
      </c>
      <c r="J25">
        <v>8.2761969999999998</v>
      </c>
      <c r="K25">
        <v>0</v>
      </c>
      <c r="L25" t="s">
        <v>14</v>
      </c>
    </row>
    <row r="26" spans="1:12" x14ac:dyDescent="0.3">
      <c r="A26">
        <v>8</v>
      </c>
      <c r="B26">
        <v>303.26130000000001</v>
      </c>
      <c r="C26">
        <v>1.718933</v>
      </c>
      <c r="D26">
        <v>1</v>
      </c>
      <c r="E26">
        <v>1.386315</v>
      </c>
      <c r="F26">
        <v>5.7814560000000004</v>
      </c>
      <c r="G26">
        <v>0.28395209999999999</v>
      </c>
      <c r="H26">
        <v>1.1865289999999999</v>
      </c>
      <c r="I26">
        <v>21.580780000000001</v>
      </c>
      <c r="J26">
        <v>12.04974</v>
      </c>
      <c r="K26">
        <v>0</v>
      </c>
      <c r="L26" t="s">
        <v>15</v>
      </c>
    </row>
    <row r="27" spans="1:12" x14ac:dyDescent="0.3">
      <c r="A27">
        <v>8</v>
      </c>
      <c r="B27">
        <v>306.81360000000001</v>
      </c>
      <c r="C27">
        <v>1.7500610000000001</v>
      </c>
      <c r="D27">
        <v>1</v>
      </c>
      <c r="E27">
        <v>2.2883779999999998</v>
      </c>
      <c r="F27">
        <v>10.698399999999999</v>
      </c>
      <c r="G27">
        <v>0.21556890000000001</v>
      </c>
      <c r="H27">
        <v>1.3699209999999999</v>
      </c>
      <c r="I27">
        <v>19.678719999999998</v>
      </c>
      <c r="J27">
        <v>8.1965570000000003</v>
      </c>
      <c r="K27">
        <v>0</v>
      </c>
      <c r="L27" t="s">
        <v>16</v>
      </c>
    </row>
    <row r="28" spans="1:12" x14ac:dyDescent="0.3">
      <c r="A28">
        <v>8</v>
      </c>
      <c r="B28">
        <v>312.52859999999998</v>
      </c>
      <c r="C28">
        <v>1.8612059999999999</v>
      </c>
      <c r="D28">
        <v>1</v>
      </c>
      <c r="E28">
        <v>2.1639719999999998</v>
      </c>
      <c r="F28">
        <v>10.330920000000001</v>
      </c>
      <c r="G28">
        <v>0.31798660000000001</v>
      </c>
      <c r="H28">
        <v>1.2692399999999999</v>
      </c>
      <c r="I28">
        <v>20.946560000000002</v>
      </c>
      <c r="J28">
        <v>8.6902690000000007</v>
      </c>
      <c r="K28">
        <v>0</v>
      </c>
      <c r="L28" t="s">
        <v>17</v>
      </c>
    </row>
    <row r="29" spans="1:12" x14ac:dyDescent="0.3">
      <c r="A29">
        <v>8</v>
      </c>
      <c r="B29">
        <v>316.40230000000003</v>
      </c>
      <c r="C29">
        <v>1.2864070000000001</v>
      </c>
      <c r="D29">
        <v>1</v>
      </c>
      <c r="E29">
        <v>2.4415079999999998</v>
      </c>
      <c r="F29">
        <v>10.754670000000001</v>
      </c>
      <c r="G29">
        <v>0.31936249999999999</v>
      </c>
      <c r="H29">
        <v>9.4314049999999998</v>
      </c>
      <c r="I29">
        <v>17.934449999999998</v>
      </c>
      <c r="J29">
        <v>10.773849999999999</v>
      </c>
      <c r="K29">
        <v>1</v>
      </c>
      <c r="L29" t="s">
        <v>18</v>
      </c>
    </row>
    <row r="30" spans="1:12" x14ac:dyDescent="0.3">
      <c r="A30">
        <v>9</v>
      </c>
      <c r="B30">
        <v>324.4905</v>
      </c>
      <c r="C30">
        <v>1.138336</v>
      </c>
      <c r="D30">
        <v>1</v>
      </c>
      <c r="E30">
        <v>1.511001</v>
      </c>
      <c r="F30">
        <v>8.1396820000000005</v>
      </c>
      <c r="G30">
        <v>0.20383670000000001</v>
      </c>
      <c r="H30">
        <v>2.2067999999999999</v>
      </c>
      <c r="I30">
        <v>13.55128</v>
      </c>
      <c r="J30">
        <v>7.261082</v>
      </c>
      <c r="K30">
        <v>0</v>
      </c>
      <c r="L30" t="s">
        <v>12</v>
      </c>
    </row>
    <row r="31" spans="1:12" x14ac:dyDescent="0.3">
      <c r="A31">
        <v>9</v>
      </c>
      <c r="B31">
        <v>329.81540000000001</v>
      </c>
      <c r="C31">
        <v>2.0826419999999999</v>
      </c>
      <c r="D31">
        <v>0.99807140000000005</v>
      </c>
      <c r="E31">
        <v>2.6418520000000001</v>
      </c>
      <c r="F31">
        <v>13.585929999999999</v>
      </c>
      <c r="G31">
        <v>0.47955710000000001</v>
      </c>
      <c r="H31">
        <v>2.125381</v>
      </c>
      <c r="I31">
        <v>21.973420000000001</v>
      </c>
      <c r="J31">
        <v>11.0587</v>
      </c>
      <c r="K31">
        <v>0</v>
      </c>
      <c r="L31" t="s">
        <v>13</v>
      </c>
    </row>
    <row r="32" spans="1:12" x14ac:dyDescent="0.3">
      <c r="A32">
        <v>9</v>
      </c>
      <c r="B32">
        <v>334.63369999999998</v>
      </c>
      <c r="C32">
        <v>1.666992</v>
      </c>
      <c r="D32">
        <v>1</v>
      </c>
      <c r="E32">
        <v>2.1397149999999998</v>
      </c>
      <c r="F32">
        <v>13.132210000000001</v>
      </c>
      <c r="G32">
        <v>0.30704910000000002</v>
      </c>
      <c r="H32">
        <v>1.4630320000000001</v>
      </c>
      <c r="I32">
        <v>16.782450000000001</v>
      </c>
      <c r="J32">
        <v>7.1976740000000001</v>
      </c>
      <c r="K32">
        <v>0</v>
      </c>
      <c r="L32" t="s">
        <v>14</v>
      </c>
    </row>
    <row r="33" spans="1:12" x14ac:dyDescent="0.3">
      <c r="A33">
        <v>9</v>
      </c>
      <c r="B33">
        <v>341.8322</v>
      </c>
      <c r="C33">
        <v>1.625732</v>
      </c>
      <c r="D33">
        <v>1</v>
      </c>
      <c r="E33">
        <v>1.9861009999999999</v>
      </c>
      <c r="F33">
        <v>9.5246200000000005</v>
      </c>
      <c r="G33">
        <v>0.23667050000000001</v>
      </c>
      <c r="H33">
        <v>0.72092829999999997</v>
      </c>
      <c r="I33">
        <v>17.724450000000001</v>
      </c>
      <c r="J33">
        <v>6.0959570000000003</v>
      </c>
      <c r="K33">
        <v>0</v>
      </c>
      <c r="L33" t="s">
        <v>15</v>
      </c>
    </row>
    <row r="34" spans="1:12" x14ac:dyDescent="0.3">
      <c r="A34">
        <v>9</v>
      </c>
      <c r="B34">
        <v>346.44810000000001</v>
      </c>
      <c r="C34">
        <v>1.4713130000000001</v>
      </c>
      <c r="D34">
        <v>1</v>
      </c>
      <c r="E34">
        <v>2.102519</v>
      </c>
      <c r="F34">
        <v>8.6048770000000001</v>
      </c>
      <c r="G34">
        <v>0.24557509999999999</v>
      </c>
      <c r="H34">
        <v>0.98489119999999997</v>
      </c>
      <c r="I34">
        <v>16.370809999999999</v>
      </c>
      <c r="J34">
        <v>6.2621270000000004</v>
      </c>
      <c r="K34">
        <v>0</v>
      </c>
      <c r="L34" t="s">
        <v>16</v>
      </c>
    </row>
    <row r="35" spans="1:12" x14ac:dyDescent="0.3">
      <c r="A35">
        <v>9</v>
      </c>
      <c r="B35">
        <v>352.10300000000001</v>
      </c>
      <c r="C35">
        <v>1.7353209999999999</v>
      </c>
      <c r="D35">
        <v>1</v>
      </c>
      <c r="E35">
        <v>1.6344879999999999</v>
      </c>
      <c r="F35">
        <v>8.6030440000000006</v>
      </c>
      <c r="G35">
        <v>0.21158070000000001</v>
      </c>
      <c r="H35">
        <v>0.6784945</v>
      </c>
      <c r="I35">
        <v>18.998950000000001</v>
      </c>
      <c r="J35">
        <v>6.8359240000000003</v>
      </c>
      <c r="K35">
        <v>0</v>
      </c>
      <c r="L35" t="s">
        <v>17</v>
      </c>
    </row>
    <row r="36" spans="1:12" x14ac:dyDescent="0.3">
      <c r="A36">
        <v>9</v>
      </c>
      <c r="B36">
        <v>357.166</v>
      </c>
      <c r="C36">
        <v>1.7745059999999999</v>
      </c>
      <c r="D36">
        <v>1</v>
      </c>
      <c r="E36">
        <v>1.662633</v>
      </c>
      <c r="F36">
        <v>8.9090950000000007</v>
      </c>
      <c r="G36">
        <v>0.191193</v>
      </c>
      <c r="H36">
        <v>1.2035210000000001</v>
      </c>
      <c r="I36">
        <v>19.96856</v>
      </c>
      <c r="J36">
        <v>8.1658200000000001</v>
      </c>
      <c r="K36">
        <v>0</v>
      </c>
      <c r="L36" t="s">
        <v>18</v>
      </c>
    </row>
    <row r="37" spans="1:12" x14ac:dyDescent="0.3">
      <c r="A37">
        <v>9</v>
      </c>
      <c r="B37">
        <v>363.02330000000001</v>
      </c>
      <c r="C37">
        <v>2.3183289999999999</v>
      </c>
      <c r="D37">
        <v>0.97119259999999996</v>
      </c>
      <c r="E37">
        <v>2.640638</v>
      </c>
      <c r="F37">
        <v>8.5362550000000006</v>
      </c>
      <c r="G37">
        <v>0.382106</v>
      </c>
      <c r="H37">
        <v>9.9238809999999997</v>
      </c>
      <c r="I37">
        <v>25.366199999999999</v>
      </c>
      <c r="J37">
        <v>14.62824</v>
      </c>
      <c r="K37">
        <v>0</v>
      </c>
      <c r="L37" t="s">
        <v>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5"/>
  <sheetViews>
    <sheetView workbookViewId="0">
      <selection sqref="A1:L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161.40610000000001</v>
      </c>
      <c r="C2">
        <v>1.5520780000000001</v>
      </c>
      <c r="D2">
        <v>1</v>
      </c>
      <c r="E2">
        <v>3.0840489999999998</v>
      </c>
      <c r="F2">
        <v>8.0161639999999998</v>
      </c>
      <c r="G2">
        <v>0.33459149999999999</v>
      </c>
      <c r="H2">
        <v>0.90755399999999997</v>
      </c>
      <c r="I2">
        <v>16.158609999999999</v>
      </c>
      <c r="J2">
        <v>4.7169939999999997</v>
      </c>
      <c r="K2">
        <v>0</v>
      </c>
      <c r="L2" t="s">
        <v>12</v>
      </c>
    </row>
    <row r="3" spans="1:12" x14ac:dyDescent="0.3">
      <c r="A3">
        <v>1</v>
      </c>
      <c r="B3">
        <v>165.52549999999999</v>
      </c>
      <c r="C3">
        <v>1.289536</v>
      </c>
      <c r="D3">
        <v>1</v>
      </c>
      <c r="E3">
        <v>3.7284839999999999</v>
      </c>
      <c r="F3">
        <v>9.5643899999999995</v>
      </c>
      <c r="G3">
        <v>0.347694</v>
      </c>
      <c r="H3">
        <v>3.5716209999999999</v>
      </c>
      <c r="I3">
        <v>13.64404</v>
      </c>
      <c r="J3">
        <v>4.6316930000000003</v>
      </c>
      <c r="K3">
        <v>0</v>
      </c>
      <c r="L3" t="s">
        <v>13</v>
      </c>
    </row>
    <row r="4" spans="1:12" x14ac:dyDescent="0.3">
      <c r="A4">
        <v>1</v>
      </c>
      <c r="B4">
        <v>168.79249999999999</v>
      </c>
      <c r="C4">
        <v>1.409897</v>
      </c>
      <c r="D4">
        <v>1</v>
      </c>
      <c r="E4">
        <v>4.5926270000000002</v>
      </c>
      <c r="F4">
        <v>11.83653</v>
      </c>
      <c r="G4">
        <v>0.36457539999999999</v>
      </c>
      <c r="H4">
        <v>2.7386780000000002</v>
      </c>
      <c r="I4">
        <v>14.74418</v>
      </c>
      <c r="J4">
        <v>4.5559019999999997</v>
      </c>
      <c r="K4">
        <v>0</v>
      </c>
      <c r="L4" t="s">
        <v>14</v>
      </c>
    </row>
    <row r="5" spans="1:12" x14ac:dyDescent="0.3">
      <c r="A5">
        <v>1</v>
      </c>
      <c r="B5">
        <v>173.12440000000001</v>
      </c>
      <c r="C5">
        <v>1.9560999999999999</v>
      </c>
      <c r="D5">
        <v>1</v>
      </c>
      <c r="E5">
        <v>4.2123480000000004</v>
      </c>
      <c r="F5">
        <v>11.18023</v>
      </c>
      <c r="G5">
        <v>0.30745699999999998</v>
      </c>
      <c r="H5">
        <v>0.35412080000000001</v>
      </c>
      <c r="I5">
        <v>19.968669999999999</v>
      </c>
      <c r="J5">
        <v>4.1169599999999997</v>
      </c>
      <c r="K5">
        <v>0</v>
      </c>
      <c r="L5" t="s">
        <v>15</v>
      </c>
    </row>
    <row r="6" spans="1:12" x14ac:dyDescent="0.3">
      <c r="A6">
        <v>1</v>
      </c>
      <c r="B6">
        <v>177.22720000000001</v>
      </c>
      <c r="C6">
        <v>1.662766</v>
      </c>
      <c r="D6">
        <v>1</v>
      </c>
      <c r="E6">
        <v>3.556406</v>
      </c>
      <c r="F6">
        <v>9.2122290000000007</v>
      </c>
      <c r="G6">
        <v>0.33991169999999998</v>
      </c>
      <c r="H6">
        <v>0.42328100000000002</v>
      </c>
      <c r="I6">
        <v>17.37237</v>
      </c>
      <c r="J6">
        <v>5.0856079999999997</v>
      </c>
      <c r="K6">
        <v>0</v>
      </c>
      <c r="L6" t="s">
        <v>16</v>
      </c>
    </row>
    <row r="7" spans="1:12" x14ac:dyDescent="0.3">
      <c r="A7">
        <v>1</v>
      </c>
      <c r="B7">
        <v>180.63630000000001</v>
      </c>
      <c r="C7">
        <v>1.2288669999999999</v>
      </c>
      <c r="D7">
        <v>1</v>
      </c>
      <c r="E7">
        <v>3.4152619999999998</v>
      </c>
      <c r="F7">
        <v>6.5586760000000002</v>
      </c>
      <c r="G7">
        <v>0.77991670000000002</v>
      </c>
      <c r="H7">
        <v>11.870889999999999</v>
      </c>
      <c r="I7">
        <v>17.704619999999998</v>
      </c>
      <c r="J7">
        <v>10.80044</v>
      </c>
      <c r="K7">
        <v>1</v>
      </c>
      <c r="L7" t="s">
        <v>17</v>
      </c>
    </row>
    <row r="8" spans="1:12" x14ac:dyDescent="0.3">
      <c r="A8">
        <v>2</v>
      </c>
      <c r="B8">
        <v>186.6121</v>
      </c>
      <c r="C8">
        <v>1.229004</v>
      </c>
      <c r="D8">
        <v>1</v>
      </c>
      <c r="E8">
        <v>3.2547320000000002</v>
      </c>
      <c r="F8">
        <v>8.3722169999999991</v>
      </c>
      <c r="G8">
        <v>0.30074990000000001</v>
      </c>
      <c r="H8">
        <v>0.462451</v>
      </c>
      <c r="I8">
        <v>12.82888</v>
      </c>
      <c r="J8">
        <v>4.2311230000000002</v>
      </c>
      <c r="K8">
        <v>0</v>
      </c>
      <c r="L8" t="s">
        <v>12</v>
      </c>
    </row>
    <row r="9" spans="1:12" x14ac:dyDescent="0.3">
      <c r="A9">
        <v>2</v>
      </c>
      <c r="B9">
        <v>190.09639999999999</v>
      </c>
      <c r="C9">
        <v>1.2819370000000001</v>
      </c>
      <c r="D9">
        <v>1</v>
      </c>
      <c r="E9">
        <v>3.3350369999999998</v>
      </c>
      <c r="F9">
        <v>7.9248060000000002</v>
      </c>
      <c r="G9">
        <v>0.4383707</v>
      </c>
      <c r="H9">
        <v>1.075175</v>
      </c>
      <c r="I9">
        <v>14.308400000000001</v>
      </c>
      <c r="J9">
        <v>6.2223410000000001</v>
      </c>
      <c r="K9">
        <v>0</v>
      </c>
      <c r="L9" t="s">
        <v>13</v>
      </c>
    </row>
    <row r="10" spans="1:12" x14ac:dyDescent="0.3">
      <c r="A10">
        <v>2</v>
      </c>
      <c r="B10">
        <v>194.4665</v>
      </c>
      <c r="C10">
        <v>1.2938229999999999</v>
      </c>
      <c r="D10">
        <v>1</v>
      </c>
      <c r="E10">
        <v>3.814209</v>
      </c>
      <c r="F10">
        <v>10.30326</v>
      </c>
      <c r="G10">
        <v>0.21107020000000001</v>
      </c>
      <c r="H10">
        <v>1.614652</v>
      </c>
      <c r="I10">
        <v>12.956799999999999</v>
      </c>
      <c r="J10">
        <v>2.609019</v>
      </c>
      <c r="K10">
        <v>0</v>
      </c>
      <c r="L10" t="s">
        <v>14</v>
      </c>
    </row>
    <row r="11" spans="1:12" x14ac:dyDescent="0.3">
      <c r="A11">
        <v>2</v>
      </c>
      <c r="B11">
        <v>198.06469999999999</v>
      </c>
      <c r="C11">
        <v>1.86937</v>
      </c>
      <c r="D11">
        <v>1</v>
      </c>
      <c r="E11">
        <v>3.578087</v>
      </c>
      <c r="F11">
        <v>9.3871889999999993</v>
      </c>
      <c r="G11">
        <v>0.40582259999999998</v>
      </c>
      <c r="H11">
        <v>0.97827640000000005</v>
      </c>
      <c r="I11">
        <v>19.439520000000002</v>
      </c>
      <c r="J11">
        <v>5.1296489999999997</v>
      </c>
      <c r="K11">
        <v>0</v>
      </c>
      <c r="L11" t="s">
        <v>15</v>
      </c>
    </row>
    <row r="12" spans="1:12" x14ac:dyDescent="0.3">
      <c r="A12">
        <v>2</v>
      </c>
      <c r="B12">
        <v>202.376</v>
      </c>
      <c r="C12">
        <v>1.6700900000000001</v>
      </c>
      <c r="D12">
        <v>1</v>
      </c>
      <c r="E12">
        <v>4.8515309999999996</v>
      </c>
      <c r="F12">
        <v>13.175330000000001</v>
      </c>
      <c r="G12">
        <v>0.28833710000000001</v>
      </c>
      <c r="H12">
        <v>0.72555939999999997</v>
      </c>
      <c r="I12">
        <v>16.938510000000001</v>
      </c>
      <c r="J12">
        <v>3.5670220000000001</v>
      </c>
      <c r="K12">
        <v>0</v>
      </c>
      <c r="L12" t="s">
        <v>16</v>
      </c>
    </row>
    <row r="13" spans="1:12" x14ac:dyDescent="0.3">
      <c r="A13">
        <v>2</v>
      </c>
      <c r="B13">
        <v>205.97239999999999</v>
      </c>
      <c r="C13">
        <v>1.41655</v>
      </c>
      <c r="D13">
        <v>1</v>
      </c>
      <c r="E13">
        <v>4.4852509999999999</v>
      </c>
      <c r="F13">
        <v>9.526408</v>
      </c>
      <c r="G13">
        <v>0.34362910000000002</v>
      </c>
      <c r="H13">
        <v>3.2437339999999999</v>
      </c>
      <c r="I13">
        <v>17.891269999999999</v>
      </c>
      <c r="J13">
        <v>4.1231530000000003</v>
      </c>
      <c r="K13">
        <v>0</v>
      </c>
      <c r="L13" t="s">
        <v>17</v>
      </c>
    </row>
    <row r="14" spans="1:12" x14ac:dyDescent="0.3">
      <c r="A14">
        <v>2</v>
      </c>
      <c r="B14">
        <v>210.43180000000001</v>
      </c>
      <c r="C14">
        <v>1.7142489999999999</v>
      </c>
      <c r="D14">
        <v>1</v>
      </c>
      <c r="E14">
        <v>3.415581</v>
      </c>
      <c r="F14">
        <v>8.3244930000000004</v>
      </c>
      <c r="G14">
        <v>0.47467959999999998</v>
      </c>
      <c r="H14">
        <v>1.6533679999999999</v>
      </c>
      <c r="I14">
        <v>19.284330000000001</v>
      </c>
      <c r="J14">
        <v>8.4681789999999992</v>
      </c>
      <c r="K14">
        <v>0</v>
      </c>
      <c r="L14" t="s">
        <v>18</v>
      </c>
    </row>
    <row r="15" spans="1:12" x14ac:dyDescent="0.3">
      <c r="A15">
        <v>2</v>
      </c>
      <c r="B15">
        <v>215.43180000000001</v>
      </c>
      <c r="C15">
        <v>1.775909</v>
      </c>
      <c r="D15">
        <v>1</v>
      </c>
      <c r="E15">
        <v>3.5617489999999998</v>
      </c>
      <c r="F15">
        <v>5.7257720000000001</v>
      </c>
      <c r="G15">
        <v>0.59172150000000001</v>
      </c>
      <c r="H15">
        <v>11.0547</v>
      </c>
      <c r="I15">
        <v>26.126339999999999</v>
      </c>
      <c r="J15">
        <v>6.4271050000000001</v>
      </c>
      <c r="K15">
        <v>0</v>
      </c>
      <c r="L15" t="s">
        <v>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3175-0C28-48C9-8D8D-30F94D249ADC}">
  <dimension ref="A1:M17"/>
  <sheetViews>
    <sheetView tabSelected="1" workbookViewId="0">
      <selection activeCell="B19" sqref="B19"/>
    </sheetView>
  </sheetViews>
  <sheetFormatPr defaultRowHeight="14.4" x14ac:dyDescent="0.3"/>
  <cols>
    <col min="1" max="1" width="22.77734375" customWidth="1"/>
  </cols>
  <sheetData>
    <row r="1" spans="1:13" x14ac:dyDescent="0.3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 t="s">
        <v>32</v>
      </c>
      <c r="L1" s="1"/>
      <c r="M1" s="1"/>
    </row>
    <row r="2" spans="1:13" x14ac:dyDescent="0.3">
      <c r="A2" t="s">
        <v>20</v>
      </c>
      <c r="B2">
        <f>AVERAGE(adap_CataAguilar!C:C)</f>
        <v>1.5043112272727275</v>
      </c>
      <c r="C2">
        <f>AVERAGE(adap_CataAguilar!D:D)</f>
        <v>0.98131741636363623</v>
      </c>
      <c r="D2">
        <f>AVERAGE(adap_CataAguilar!E:E)</f>
        <v>1.7394978181818186</v>
      </c>
      <c r="E2">
        <f>AVERAGE(adap_CataAguilar!F:F)</f>
        <v>7.3200407090909057</v>
      </c>
      <c r="F2">
        <f>AVERAGE(adap_CataAguilar!G:G)</f>
        <v>0.32838179636363635</v>
      </c>
      <c r="G2">
        <f>AVERAGE(adap_CataAguilar!H:H)</f>
        <v>3.3733008745454547</v>
      </c>
      <c r="H2">
        <f>AVERAGE(adap_CataAguilar!I:I)</f>
        <v>21.042914581818177</v>
      </c>
      <c r="I2">
        <f>AVERAGE(adap_CataAguilar!J:J)</f>
        <v>13.583481174545453</v>
      </c>
      <c r="J2">
        <f>AVERAGE(adap_CataAguilar!K:K)</f>
        <v>0.14545454545454545</v>
      </c>
      <c r="K2">
        <v>0</v>
      </c>
    </row>
    <row r="3" spans="1:13" x14ac:dyDescent="0.3">
      <c r="A3" t="s">
        <v>21</v>
      </c>
      <c r="B3">
        <f>AVERAGE(adap_GonzaloCampos!C:C)</f>
        <v>1.5261365190476195</v>
      </c>
      <c r="C3">
        <f>AVERAGE(adap_GonzaloCampos!D:D)</f>
        <v>0.96123687142857128</v>
      </c>
      <c r="D3">
        <f>AVERAGE(adap_GonzaloCampos!E:E)</f>
        <v>2.0758705190476192</v>
      </c>
      <c r="E3">
        <f>AVERAGE(adap_GonzaloCampos!F:F)</f>
        <v>8.8525200952380985</v>
      </c>
      <c r="F3">
        <f>AVERAGE(adap_GonzaloCampos!G:G)</f>
        <v>0.35605423809523817</v>
      </c>
      <c r="G3">
        <f>AVERAGE(adap_GonzaloCampos!H:H)</f>
        <v>7.3452290190476175</v>
      </c>
      <c r="H3">
        <f>AVERAGE(adap_GonzaloCampos!I:I)</f>
        <v>18.584646238095239</v>
      </c>
      <c r="I3">
        <f>AVERAGE(adap_GonzaloCampos!J:J)</f>
        <v>11.012522333333337</v>
      </c>
      <c r="J3">
        <f>AVERAGE(adap_GonzaloCampos!K:K)</f>
        <v>0.19047619047619047</v>
      </c>
      <c r="K3">
        <v>0</v>
      </c>
    </row>
    <row r="4" spans="1:13" x14ac:dyDescent="0.3">
      <c r="A4" t="s">
        <v>22</v>
      </c>
      <c r="B4">
        <f>AVERAGE(adap_IgnaciaDelgado!C:C)</f>
        <v>1.6698682177777779</v>
      </c>
      <c r="C4">
        <f>AVERAGE(adap_IgnaciaDelgado!D:D)</f>
        <v>0.96337481555555571</v>
      </c>
      <c r="D4">
        <f>AVERAGE(adap_IgnaciaDelgado!E:E)</f>
        <v>1.9692593466666659</v>
      </c>
      <c r="E4">
        <f>AVERAGE(adap_IgnaciaDelgado!F:F)</f>
        <v>8.6219756666666658</v>
      </c>
      <c r="F4">
        <f>AVERAGE(adap_IgnaciaDelgado!G:G)</f>
        <v>0.34558009555555558</v>
      </c>
      <c r="G4">
        <f>AVERAGE(adap_IgnaciaDelgado!H:H)</f>
        <v>4.1143857511111124</v>
      </c>
      <c r="H4">
        <f>AVERAGE(adap_IgnaciaDelgado!I:I)</f>
        <v>20.817789222222231</v>
      </c>
      <c r="I4">
        <f>AVERAGE(adap_IgnaciaDelgado!J:J)</f>
        <v>12.143185044444445</v>
      </c>
      <c r="J4">
        <f>AVERAGE(adap_IgnaciaDelgado!K:K)</f>
        <v>0.13333333333333333</v>
      </c>
      <c r="K4">
        <v>0</v>
      </c>
    </row>
    <row r="5" spans="1:13" x14ac:dyDescent="0.3">
      <c r="A5" t="s">
        <v>23</v>
      </c>
      <c r="B5">
        <f>AVERAGE(adap_IsidoraToledo!C:C)</f>
        <v>1.6700916250000002</v>
      </c>
      <c r="C5">
        <f>AVERAGE(adap_IsidoraToledo!D:D)</f>
        <v>0.98719657500000002</v>
      </c>
      <c r="D5">
        <f>AVERAGE(adap_IsidoraToledo!E:E)</f>
        <v>2.2254078749999997</v>
      </c>
      <c r="E5">
        <f>AVERAGE(adap_IsidoraToledo!F:F)</f>
        <v>7.1783822500000003</v>
      </c>
      <c r="F5">
        <f>AVERAGE(adap_IsidoraToledo!G:G)</f>
        <v>0.45043701250000001</v>
      </c>
      <c r="G5">
        <f>AVERAGE(adap_IsidoraToledo!H:H)</f>
        <v>1.9095657500000001</v>
      </c>
      <c r="H5">
        <f>AVERAGE(adap_IsidoraToledo!I:I)</f>
        <v>20.902518749999999</v>
      </c>
      <c r="I5">
        <f>AVERAGE(adap_IsidoraToledo!J:J)</f>
        <v>12.985064250000001</v>
      </c>
      <c r="J5">
        <f>AVERAGE(adap_IsidoraToledo!K:K)</f>
        <v>0</v>
      </c>
      <c r="K5">
        <v>0</v>
      </c>
    </row>
    <row r="6" spans="1:13" x14ac:dyDescent="0.3">
      <c r="A6" t="s">
        <v>24</v>
      </c>
      <c r="B6">
        <f>AVERAGE(adap_JavierSalinas!C:C)</f>
        <v>1.5287848777777779</v>
      </c>
      <c r="C6">
        <f>AVERAGE(adap_JavierSalinas!D:D)</f>
        <v>0.99809524999999999</v>
      </c>
      <c r="D6">
        <f>AVERAGE(adap_JavierSalinas!E:E)</f>
        <v>3.5587958611111117</v>
      </c>
      <c r="E6">
        <f>AVERAGE(adap_JavierSalinas!F:F)</f>
        <v>8.6705469722222208</v>
      </c>
      <c r="F6">
        <f>AVERAGE(adap_JavierSalinas!G:G)</f>
        <v>0.53449916388888885</v>
      </c>
      <c r="G6">
        <f>AVERAGE(adap_JavierSalinas!H:H)</f>
        <v>3.6656351444444448</v>
      </c>
      <c r="H6">
        <f>AVERAGE(adap_JavierSalinas!I:I)</f>
        <v>18.345053833333331</v>
      </c>
      <c r="I6">
        <f>AVERAGE(adap_JavierSalinas!J:J)</f>
        <v>10.232730416666664</v>
      </c>
      <c r="J6">
        <f>AVERAGE(adap_JavierSalinas!K:K)</f>
        <v>0.19444444444444445</v>
      </c>
      <c r="K6">
        <v>0</v>
      </c>
    </row>
    <row r="7" spans="1:13" x14ac:dyDescent="0.3">
      <c r="A7" t="s">
        <v>25</v>
      </c>
      <c r="B7">
        <f>AVERAGE(adap_MariannaMaregatti!C:C)</f>
        <v>1.5117271655172411</v>
      </c>
      <c r="C7">
        <f>AVERAGE(adap_MariannaMaregatti!D:D)</f>
        <v>0.91807135862068978</v>
      </c>
      <c r="D7">
        <f>AVERAGE(adap_MariannaMaregatti!E:E)</f>
        <v>4.1194834310344834</v>
      </c>
      <c r="E7">
        <f>AVERAGE(adap_MariannaMaregatti!F:F)</f>
        <v>9.8366722965517237</v>
      </c>
      <c r="F7">
        <f>AVERAGE(adap_MariannaMaregatti!G:G)</f>
        <v>0.56810550000000004</v>
      </c>
      <c r="G7">
        <f>AVERAGE(adap_MariannaMaregatti!H:H)</f>
        <v>9.0418109275862086</v>
      </c>
      <c r="H7">
        <f>AVERAGE(adap_MariannaMaregatti!I:I)</f>
        <v>18.972268179310348</v>
      </c>
      <c r="I7">
        <f>AVERAGE(adap_MariannaMaregatti!J:J)</f>
        <v>11.371558137931034</v>
      </c>
      <c r="J7">
        <f>AVERAGE(adap_MariannaMaregatti!K:K)</f>
        <v>0.20689655172413793</v>
      </c>
      <c r="K7">
        <v>0</v>
      </c>
    </row>
    <row r="8" spans="1:13" x14ac:dyDescent="0.3">
      <c r="A8" t="s">
        <v>26</v>
      </c>
      <c r="B8">
        <f>AVERAGE(adap_SebastianRatto!C:C)</f>
        <v>1.7352066937500001</v>
      </c>
      <c r="C8">
        <f>AVERAGE(adap_SebastianRatto!D:D)</f>
        <v>0.97102670000000002</v>
      </c>
      <c r="D8">
        <f>AVERAGE(adap_SebastianRatto!E:E)</f>
        <v>5.5935295625000006</v>
      </c>
      <c r="E8">
        <f>AVERAGE(adap_SebastianRatto!F:F)</f>
        <v>10.5727329375</v>
      </c>
      <c r="F8">
        <f>AVERAGE(adap_SebastianRatto!G:G)</f>
        <v>0.69898549375000008</v>
      </c>
      <c r="G8">
        <f>AVERAGE(adap_SebastianRatto!H:H)</f>
        <v>2.8894867500000005</v>
      </c>
      <c r="H8">
        <f>AVERAGE(adap_SebastianRatto!I:I)</f>
        <v>19.741750625000002</v>
      </c>
      <c r="I8">
        <f>AVERAGE(adap_SebastianRatto!J:J)</f>
        <v>11.948935312499998</v>
      </c>
      <c r="J8">
        <f>AVERAGE(adap_SebastianRatto!K:K)</f>
        <v>0.125</v>
      </c>
      <c r="K8">
        <v>0</v>
      </c>
    </row>
    <row r="9" spans="1:13" x14ac:dyDescent="0.3">
      <c r="A9" t="s">
        <v>27</v>
      </c>
      <c r="B9">
        <f>AVERAGE(adap_SofiaVidal!C:C)</f>
        <v>1.382105327586207</v>
      </c>
      <c r="C9">
        <f>AVERAGE(adap_SofiaVidal!D:D)</f>
        <v>0.99172730689655186</v>
      </c>
      <c r="D9">
        <f>AVERAGE(adap_SofiaVidal!E:E)</f>
        <v>1.9085861724137931</v>
      </c>
      <c r="E9">
        <f>AVERAGE(adap_SofiaVidal!F:F)</f>
        <v>9.3030278275862077</v>
      </c>
      <c r="F9">
        <f>AVERAGE(adap_SofiaVidal!G:G)</f>
        <v>0.29433168965517242</v>
      </c>
      <c r="G9">
        <f>AVERAGE(adap_SofiaVidal!H:H)</f>
        <v>3.8792035413793116</v>
      </c>
      <c r="H9">
        <f>AVERAGE(adap_SofiaVidal!I:I)</f>
        <v>17.8419094137931</v>
      </c>
      <c r="I9">
        <f>AVERAGE(adap_SofiaVidal!J:J)</f>
        <v>10.822776999999999</v>
      </c>
      <c r="J9">
        <f>AVERAGE(adap_SofiaVidal!K:K)</f>
        <v>0.20689655172413793</v>
      </c>
      <c r="K9">
        <v>0</v>
      </c>
    </row>
    <row r="10" spans="1:13" x14ac:dyDescent="0.3">
      <c r="A10" t="s">
        <v>28</v>
      </c>
      <c r="B10">
        <f>AVERAGE(adap_VicenteOlguin!C:C)</f>
        <v>1.5737443121212122</v>
      </c>
      <c r="C10">
        <f>AVERAGE(adap_VicenteOlguin!D:D)</f>
        <v>0.93943549090909095</v>
      </c>
      <c r="D10">
        <f>AVERAGE(adap_VicenteOlguin!E:E)</f>
        <v>2.0647893393939398</v>
      </c>
      <c r="E10">
        <f>AVERAGE(adap_VicenteOlguin!F:F)</f>
        <v>9.8208312424242425</v>
      </c>
      <c r="F10">
        <f>AVERAGE(adap_VicenteOlguin!G:G)</f>
        <v>0.27962710909090915</v>
      </c>
      <c r="G10">
        <f>AVERAGE(adap_VicenteOlguin!H:H)</f>
        <v>4.4069445272727279</v>
      </c>
      <c r="H10">
        <f>AVERAGE(adap_VicenteOlguin!I:I)</f>
        <v>18.430153212121205</v>
      </c>
      <c r="I10">
        <f>AVERAGE(adap_VicenteOlguin!J:J)</f>
        <v>9.3160801818181795</v>
      </c>
      <c r="J10">
        <f>AVERAGE(adap_VicenteOlguin!K:K)</f>
        <v>0.15151515151515152</v>
      </c>
      <c r="K10">
        <v>0</v>
      </c>
    </row>
    <row r="11" spans="1:13" x14ac:dyDescent="0.3">
      <c r="A11" t="s">
        <v>29</v>
      </c>
      <c r="B11">
        <f>AVERAGE(adap_VicenteQuintana!C:C)</f>
        <v>1.2259483624999998</v>
      </c>
      <c r="C11">
        <f>AVERAGE(adap_VicenteQuintana!D:D)</f>
        <v>0.99820898749999998</v>
      </c>
      <c r="D11">
        <f>AVERAGE(adap_VicenteQuintana!E:E)</f>
        <v>5.1393342499999992</v>
      </c>
      <c r="E11">
        <f>AVERAGE(adap_VicenteQuintana!F:F)</f>
        <v>14.133606625000001</v>
      </c>
      <c r="F11">
        <f>AVERAGE(adap_VicenteQuintana!G:G)</f>
        <v>0.31268764250000003</v>
      </c>
      <c r="G11">
        <f>AVERAGE(adap_VicenteQuintana!H:H)</f>
        <v>3.5568821249999996</v>
      </c>
      <c r="H11">
        <f>AVERAGE(adap_VicenteQuintana!I:I)</f>
        <v>12.462164625</v>
      </c>
      <c r="I11">
        <f>AVERAGE(adap_VicenteQuintana!J:J)</f>
        <v>3.6937359624999999</v>
      </c>
      <c r="J11">
        <f>AVERAGE(adap_VicenteQuintana!K:K)</f>
        <v>0</v>
      </c>
      <c r="K11">
        <v>0</v>
      </c>
    </row>
    <row r="12" spans="1:13" x14ac:dyDescent="0.3">
      <c r="A12" t="s">
        <v>30</v>
      </c>
      <c r="B12">
        <f>AVERAGE(adap_VicenteVidal!C:C)</f>
        <v>1.6067216166666667</v>
      </c>
      <c r="C12">
        <f>AVERAGE(adap_VicenteVidal!D:D)</f>
        <v>0.89297741944444453</v>
      </c>
      <c r="D12">
        <f>AVERAGE(adap_VicenteVidal!E:E)</f>
        <v>2.2207639444444442</v>
      </c>
      <c r="E12">
        <f>AVERAGE(adap_VicenteVidal!F:F)</f>
        <v>11.721970749999999</v>
      </c>
      <c r="F12">
        <f>AVERAGE(adap_VicenteVidal!G:G)</f>
        <v>0.29907062499999998</v>
      </c>
      <c r="G12">
        <f>AVERAGE(adap_VicenteVidal!H:H)</f>
        <v>25.369918425000002</v>
      </c>
      <c r="H12">
        <f>AVERAGE(adap_VicenteVidal!I:I)</f>
        <v>18.387642527777786</v>
      </c>
      <c r="I12">
        <f>AVERAGE(adap_VicenteVidal!J:J)</f>
        <v>10.14765711111111</v>
      </c>
      <c r="J12">
        <f>AVERAGE(adap_VicenteVidal!K:K)</f>
        <v>0.1388888888888889</v>
      </c>
      <c r="K12">
        <v>0</v>
      </c>
    </row>
    <row r="13" spans="1:13" x14ac:dyDescent="0.3">
      <c r="A13" t="s">
        <v>31</v>
      </c>
      <c r="B13">
        <f>AVERAGE(adap_yo!C:C)</f>
        <v>1.5250125714285709</v>
      </c>
      <c r="C13">
        <f>AVERAGE(adap_yo!D:D)</f>
        <v>1</v>
      </c>
      <c r="D13">
        <f>AVERAGE(adap_yo!E:E)</f>
        <v>3.7775252142857143</v>
      </c>
      <c r="E13">
        <f>AVERAGE(adap_yo!F:F)</f>
        <v>9.2219781428571412</v>
      </c>
      <c r="F13">
        <f>AVERAGE(adap_yo!G:G)</f>
        <v>0.39489478571428577</v>
      </c>
      <c r="G13">
        <f>AVERAGE(adap_yo!H:H)</f>
        <v>2.9052900428571431</v>
      </c>
      <c r="H13">
        <f>AVERAGE(adap_yo!I:I)</f>
        <v>17.09761</v>
      </c>
      <c r="I13">
        <f>AVERAGE(adap_yo!J:J)</f>
        <v>5.3346562857142867</v>
      </c>
      <c r="J13">
        <f>AVERAGE(adap_yo!K:K)</f>
        <v>7.1428571428571425E-2</v>
      </c>
      <c r="K13">
        <v>0</v>
      </c>
    </row>
    <row r="15" spans="1:13" ht="43.2" x14ac:dyDescent="0.3">
      <c r="A15" s="3" t="s">
        <v>33</v>
      </c>
      <c r="B15">
        <f>_xlfn.PERCENTILE.EXC(B2:B13,0.5)</f>
        <v>1.5274606984126988</v>
      </c>
      <c r="C15">
        <f t="shared" ref="C15:K15" si="0">_xlfn.PERCENTILE.EXC(C2:C13,0.5)</f>
        <v>0.97617205818181807</v>
      </c>
      <c r="D15">
        <f t="shared" si="0"/>
        <v>2.2230859097222222</v>
      </c>
      <c r="E15">
        <f t="shared" si="0"/>
        <v>9.2625029852216745</v>
      </c>
      <c r="F15">
        <f t="shared" si="0"/>
        <v>0.35081716682539688</v>
      </c>
      <c r="G15">
        <f t="shared" si="0"/>
        <v>3.7724193429118782</v>
      </c>
      <c r="H15">
        <f t="shared" si="0"/>
        <v>18.507399725108222</v>
      </c>
      <c r="I15">
        <f t="shared" si="0"/>
        <v>10.917649666666668</v>
      </c>
      <c r="J15">
        <f t="shared" si="0"/>
        <v>0.14217171717171717</v>
      </c>
      <c r="K15">
        <f t="shared" si="0"/>
        <v>0</v>
      </c>
    </row>
    <row r="16" spans="1:13" ht="57.6" x14ac:dyDescent="0.3">
      <c r="A16" s="4" t="s">
        <v>34</v>
      </c>
      <c r="B16">
        <f>_xlfn.PERCENTILE.EXC(B3:B14,0.75)</f>
        <v>1.6698682177777779</v>
      </c>
      <c r="C16">
        <f t="shared" ref="C16:K16" si="1">_xlfn.PERCENTILE.EXC(C3:C14,0.75)</f>
        <v>0.99809524999999999</v>
      </c>
      <c r="D16">
        <f t="shared" si="1"/>
        <v>4.1194834310344834</v>
      </c>
      <c r="E16">
        <f t="shared" si="1"/>
        <v>10.5727329375</v>
      </c>
      <c r="F16">
        <f t="shared" si="1"/>
        <v>0.53449916388888885</v>
      </c>
      <c r="G16">
        <f t="shared" si="1"/>
        <v>7.3452290190476175</v>
      </c>
      <c r="H16">
        <f t="shared" si="1"/>
        <v>19.741750625000002</v>
      </c>
      <c r="I16">
        <f t="shared" si="1"/>
        <v>11.948935312499998</v>
      </c>
      <c r="J16">
        <f t="shared" si="1"/>
        <v>0.19444444444444445</v>
      </c>
      <c r="K16">
        <f t="shared" si="1"/>
        <v>0</v>
      </c>
    </row>
    <row r="17" spans="1:11" ht="43.2" x14ac:dyDescent="0.3">
      <c r="A17" s="5" t="s">
        <v>35</v>
      </c>
      <c r="B17">
        <f>_xlfn.PERCENTILE.EXC(B4:B15,0.9)</f>
        <v>1.7221836800000001</v>
      </c>
      <c r="C17">
        <f t="shared" ref="C17:K17" si="2">_xlfn.PERCENTILE.EXC(C4:C15,0.9)</f>
        <v>0.99964179750000004</v>
      </c>
      <c r="D17">
        <f t="shared" si="2"/>
        <v>5.5026905000000008</v>
      </c>
      <c r="E17">
        <f t="shared" si="2"/>
        <v>13.651279450000002</v>
      </c>
      <c r="F17">
        <f t="shared" si="2"/>
        <v>0.6728094950000002</v>
      </c>
      <c r="G17">
        <f t="shared" si="2"/>
        <v>22.104296925517254</v>
      </c>
      <c r="H17">
        <f t="shared" si="2"/>
        <v>20.885572844444447</v>
      </c>
      <c r="I17">
        <f t="shared" si="2"/>
        <v>12.81668840888889</v>
      </c>
      <c r="J17">
        <f t="shared" si="2"/>
        <v>0.20689655172413793</v>
      </c>
      <c r="K17">
        <f t="shared" si="2"/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adap_CataAguilar</vt:lpstr>
      <vt:lpstr>adap_GonzaloCampos</vt:lpstr>
      <vt:lpstr>adap_IgnaciaDelgado</vt:lpstr>
      <vt:lpstr>adap_IsidoraToledo</vt:lpstr>
      <vt:lpstr>adap_JavierSalinas</vt:lpstr>
      <vt:lpstr>adap_MariannaMaregatti</vt:lpstr>
      <vt:lpstr>adap_SebastianRatto</vt:lpstr>
      <vt:lpstr>adap_SofiaVidal</vt:lpstr>
      <vt:lpstr>adap_VicenteOlguin</vt:lpstr>
      <vt:lpstr>adap_VicenteQuintana</vt:lpstr>
      <vt:lpstr>adap_VicenteVidal</vt:lpstr>
      <vt:lpstr>adap_yo</vt:lpstr>
      <vt:lpstr>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2026-02-20T06:46:51Z</dcterms:created>
  <dcterms:modified xsi:type="dcterms:W3CDTF">2026-02-20T07:27:59Z</dcterms:modified>
</cp:coreProperties>
</file>